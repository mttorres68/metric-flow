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uttr\Documents\Projetos\metric-flow\client\public\"/>
    </mc:Choice>
  </mc:AlternateContent>
  <xr:revisionPtr revIDLastSave="0" documentId="8_{11DA3284-225B-4E7F-8F33-0C3BD506CCA0}" xr6:coauthVersionLast="47" xr6:coauthVersionMax="47" xr10:uidLastSave="{00000000-0000-0000-0000-000000000000}"/>
  <bookViews>
    <workbookView xWindow="-108" yWindow="-108" windowWidth="23256" windowHeight="13896" xr2:uid="{32BEAB43-DCB8-4158-9DFE-74060B1285E1}"/>
  </bookViews>
  <sheets>
    <sheet name="check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64" i="1" l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1" i="1" a="1"/>
  <c r="K2" i="1" l="1"/>
  <c r="J1" i="1"/>
  <c r="J2" i="1" s="1"/>
  <c r="M2" i="1"/>
  <c r="L2" i="1"/>
  <c r="N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<sst xmlns="http://schemas.openxmlformats.org/spreadsheetml/2006/main" count="2002" uniqueCount="122">
  <si>
    <t xml:space="preserve">Revenda </t>
  </si>
  <si>
    <t>Qtd Evidencias</t>
  </si>
  <si>
    <t>Data</t>
  </si>
  <si>
    <t>Operação</t>
  </si>
  <si>
    <t>Revenda</t>
  </si>
  <si>
    <t>Item</t>
  </si>
  <si>
    <t>Autovaliação</t>
  </si>
  <si>
    <t>Evidencia</t>
  </si>
  <si>
    <t>Padrinho</t>
  </si>
  <si>
    <t>Hora check</t>
  </si>
  <si>
    <t>Macro Área</t>
  </si>
  <si>
    <t>Duttra MA</t>
  </si>
  <si>
    <t xml:space="preserve">ADM01 </t>
  </si>
  <si>
    <t>Não</t>
  </si>
  <si>
    <t xml:space="preserve">ADM02 </t>
  </si>
  <si>
    <t xml:space="preserve">ADM03 </t>
  </si>
  <si>
    <t>Sim</t>
  </si>
  <si>
    <t>Luciana Duttra</t>
  </si>
  <si>
    <t xml:space="preserve">ADM04 </t>
  </si>
  <si>
    <t xml:space="preserve">ADM05 </t>
  </si>
  <si>
    <t xml:space="preserve">ADM06 </t>
  </si>
  <si>
    <t xml:space="preserve">ADM07 </t>
  </si>
  <si>
    <t>Cicero Soares</t>
  </si>
  <si>
    <t xml:space="preserve">ADM08 </t>
  </si>
  <si>
    <t xml:space="preserve">ADM09 </t>
  </si>
  <si>
    <t xml:space="preserve">ADM10 </t>
  </si>
  <si>
    <t xml:space="preserve">ADM11 </t>
  </si>
  <si>
    <t xml:space="preserve">ARM01 </t>
  </si>
  <si>
    <t xml:space="preserve">ARM02 </t>
  </si>
  <si>
    <t xml:space="preserve">ARM03 </t>
  </si>
  <si>
    <t xml:space="preserve">ARM04 </t>
  </si>
  <si>
    <t xml:space="preserve">ARM05 </t>
  </si>
  <si>
    <t xml:space="preserve">ARM06 </t>
  </si>
  <si>
    <t xml:space="preserve">ARM07 </t>
  </si>
  <si>
    <t xml:space="preserve">ARM08 </t>
  </si>
  <si>
    <t xml:space="preserve">ARM09 </t>
  </si>
  <si>
    <t xml:space="preserve">ARM10 </t>
  </si>
  <si>
    <t xml:space="preserve">CMDT01 </t>
  </si>
  <si>
    <t xml:space="preserve">CMDT02 </t>
  </si>
  <si>
    <t xml:space="preserve">CMDT03 </t>
  </si>
  <si>
    <t xml:space="preserve">COM01 </t>
  </si>
  <si>
    <t>Elielby Duttra</t>
  </si>
  <si>
    <t xml:space="preserve">COM02 </t>
  </si>
  <si>
    <t xml:space="preserve">COM03 </t>
  </si>
  <si>
    <t xml:space="preserve"> </t>
  </si>
  <si>
    <t xml:space="preserve">COM04 </t>
  </si>
  <si>
    <t xml:space="preserve">COM05 </t>
  </si>
  <si>
    <t xml:space="preserve">COM06 </t>
  </si>
  <si>
    <t xml:space="preserve">COM07 </t>
  </si>
  <si>
    <t xml:space="preserve">COM08 </t>
  </si>
  <si>
    <t xml:space="preserve">COM09 </t>
  </si>
  <si>
    <t xml:space="preserve">COM10 </t>
  </si>
  <si>
    <t xml:space="preserve">COM11 </t>
  </si>
  <si>
    <t xml:space="preserve">COM12 </t>
  </si>
  <si>
    <t xml:space="preserve">COM13 </t>
  </si>
  <si>
    <t xml:space="preserve">COM14 </t>
  </si>
  <si>
    <t xml:space="preserve">COM15 </t>
  </si>
  <si>
    <t xml:space="preserve">COM16 </t>
  </si>
  <si>
    <t xml:space="preserve">COM17 </t>
  </si>
  <si>
    <t xml:space="preserve">COM18 </t>
  </si>
  <si>
    <t xml:space="preserve">COM19 </t>
  </si>
  <si>
    <t xml:space="preserve">COM20 </t>
  </si>
  <si>
    <t xml:space="preserve">COM21 </t>
  </si>
  <si>
    <t>COM22</t>
  </si>
  <si>
    <t xml:space="preserve">COM23 </t>
  </si>
  <si>
    <t xml:space="preserve">COM24 </t>
  </si>
  <si>
    <t xml:space="preserve">COM25 </t>
  </si>
  <si>
    <t xml:space="preserve">COM26 </t>
  </si>
  <si>
    <t xml:space="preserve">COM27 </t>
  </si>
  <si>
    <t xml:space="preserve">COM28 </t>
  </si>
  <si>
    <t xml:space="preserve">COM29 </t>
  </si>
  <si>
    <t xml:space="preserve">COM30 </t>
  </si>
  <si>
    <t xml:space="preserve">COM31 </t>
  </si>
  <si>
    <t xml:space="preserve">DISTRI01 </t>
  </si>
  <si>
    <t>DISTRI02</t>
  </si>
  <si>
    <t>DISTRI03</t>
  </si>
  <si>
    <t>DISTRI04</t>
  </si>
  <si>
    <t>DISTRI05</t>
  </si>
  <si>
    <t>DISTRI06</t>
  </si>
  <si>
    <t xml:space="preserve">FROT01 </t>
  </si>
  <si>
    <t xml:space="preserve">FROT02 </t>
  </si>
  <si>
    <t xml:space="preserve">FROT03 </t>
  </si>
  <si>
    <t xml:space="preserve">FROT04 </t>
  </si>
  <si>
    <t xml:space="preserve">FROT05 </t>
  </si>
  <si>
    <t xml:space="preserve">RH01 </t>
  </si>
  <si>
    <t xml:space="preserve">RH02 </t>
  </si>
  <si>
    <t xml:space="preserve">RH03 </t>
  </si>
  <si>
    <t xml:space="preserve">RH04 </t>
  </si>
  <si>
    <t xml:space="preserve">RH05 </t>
  </si>
  <si>
    <t xml:space="preserve">RH06 </t>
  </si>
  <si>
    <t xml:space="preserve">RH07 </t>
  </si>
  <si>
    <t xml:space="preserve">RH08 </t>
  </si>
  <si>
    <t xml:space="preserve">SHE01  </t>
  </si>
  <si>
    <t xml:space="preserve">SHE02 </t>
  </si>
  <si>
    <t xml:space="preserve">SHE03 </t>
  </si>
  <si>
    <t xml:space="preserve">SHE04 </t>
  </si>
  <si>
    <t xml:space="preserve">SHE05 </t>
  </si>
  <si>
    <t xml:space="preserve">SHE06 </t>
  </si>
  <si>
    <t xml:space="preserve">SHE07 </t>
  </si>
  <si>
    <t xml:space="preserve">SHE08 </t>
  </si>
  <si>
    <t xml:space="preserve">SHE09 </t>
  </si>
  <si>
    <t xml:space="preserve">STO01 </t>
  </si>
  <si>
    <t xml:space="preserve">STO02 </t>
  </si>
  <si>
    <t xml:space="preserve">TRD01 </t>
  </si>
  <si>
    <t>TRD02</t>
  </si>
  <si>
    <t xml:space="preserve">TRD03 </t>
  </si>
  <si>
    <t xml:space="preserve">TRD04 </t>
  </si>
  <si>
    <t>TRD05</t>
  </si>
  <si>
    <t>TRD06</t>
  </si>
  <si>
    <t>TRD07</t>
  </si>
  <si>
    <t>Duttra FL</t>
  </si>
  <si>
    <t>Erica Duttra</t>
  </si>
  <si>
    <t>Adeilson Melo dos Santos</t>
  </si>
  <si>
    <t>Sandra Maria</t>
  </si>
  <si>
    <t>Duttra SRN</t>
  </si>
  <si>
    <t>Naiara Duttra</t>
  </si>
  <si>
    <t>Lucas Nogueira</t>
  </si>
  <si>
    <t>Marcelo Antunes Sousa</t>
  </si>
  <si>
    <t>João Ricardo de Sousa França</t>
  </si>
  <si>
    <t>Forte QX</t>
  </si>
  <si>
    <t>Luciana Forte</t>
  </si>
  <si>
    <t>Forte 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</si>
</sst>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0" tint="-4.9989318521683403E-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5E6DA"/>
        <bgColor indexed="64"/>
      </patternFill>
    </fill>
    <fill>
      <patternFill patternType="solid">
        <fgColor rgb="FFAAF27E"/>
        <bgColor indexed="64"/>
      </patternFill>
    </fill>
    <fill>
      <patternFill patternType="solid">
        <fgColor rgb="FFDBE4D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17" fontId="0" fillId="0" borderId="0" xfId="0" applyNumberFormat="1"/>
    <xf numFmtId="20" fontId="0" fillId="0" borderId="0" xfId="0" applyNumberFormat="1"/>
    <xf numFmtId="0" fontId="1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4" xfId="0" applyFont="1" applyBorder="1"/>
    <xf numFmtId="0" fontId="1" fillId="0" borderId="5" xfId="0" applyFont="1" applyBorder="1"/>
  </cellXfs>
  <cellStyles count="1">
    <cellStyle name="Normal" xfId="0" builtinId="0"/>
  </cellStyles>
  <dxfs count="8">
    <dxf>
      <numFmt numFmtId="0" formatCode="General"/>
    </dxf>
    <dxf>
      <numFmt numFmtId="25" formatCode="hh:mm"/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 tint="-4.9989318521683403E-2"/>
        <name val="Calibri"/>
        <family val="2"/>
        <scheme val="none"/>
      </font>
      <fill>
        <patternFill patternType="none">
          <fgColor theme="4" tint="0.79998168889431442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Assesment/Excel/ASSESSMENT_RELAT&#211;RIO_INDICADORES.xlsx" TargetMode="External"/><Relationship Id="rId2" Type="http://schemas.openxmlformats.org/officeDocument/2006/relationships/externalLinkPath" Target="file:///C:\Users\duttr\Documents\Assesment\Excel\ASSESSMENT_RELAT&#211;RIO_INDICADORES.xlsx" TargetMode="External"/><Relationship Id="rId1" Type="http://schemas.openxmlformats.org/officeDocument/2006/relationships/externalLinkPath" Target="/Users/duttr/Documents/Assesment/Excel/ASSESSMENT_RELAT&#211;RIO_INDICADO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"/>
      <sheetName val="check"/>
      <sheetName val="assessment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E28317-37D4-4754-95EC-0928A97F7782}" name="check_assessment" displayName="check_assessment" ref="B4:J464" totalsRowShown="0" headerRowDxfId="3">
  <autoFilter ref="B4:J464" xr:uid="{3405F245-249B-4643-8477-6286F7EB3E32}"/>
  <tableColumns count="9">
    <tableColumn id="8" xr3:uid="{DBE2E2E3-F585-4390-B648-E769CF5579AE}" name="Data"/>
    <tableColumn id="1" xr3:uid="{5C4A0FD9-DD6B-44FA-A71C-245890FD8818}" name="Operação"/>
    <tableColumn id="2" xr3:uid="{9D395F0D-C9D9-4173-A2B5-75AEBCC678F7}" name="Revenda"/>
    <tableColumn id="3" xr3:uid="{13D1AD09-025E-459E-9ED4-B69D71A1ABD0}" name="Item" dataDxfId="2"/>
    <tableColumn id="9" xr3:uid="{D23294AD-C8FB-45C5-9740-4B3F3425F7D2}" name="Autovaliação"/>
    <tableColumn id="4" xr3:uid="{CD9CAF01-B052-4D7A-9C35-4C801F13BB8E}" name="Evidencia"/>
    <tableColumn id="5" xr3:uid="{24F3C200-1DB5-4BA4-A1E2-6B402D87A532}" name="Padrinho"/>
    <tableColumn id="6" xr3:uid="{A1E4AF61-9E1C-48FE-AF90-9FAB4D3A7623}" name="Hora check" dataDxfId="1"/>
    <tableColumn id="7" xr3:uid="{4F8A9BBA-970E-424E-8220-D73A5CE0A7E5}" name="Macro Área" dataDxfId="0">
      <calculatedColumnFormula>VLOOKUP(E5,[1]!assessment[#Data],4,1)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9C77-B497-4D10-8EC4-5E69439C8E71}">
  <dimension ref="A1:N464"/>
  <sheetViews>
    <sheetView showGridLines="0" tabSelected="1" zoomScale="99" zoomScaleNormal="99" workbookViewId="0">
      <pane ySplit="4" topLeftCell="A22" activePane="bottomLeft" state="frozen"/>
      <selection pane="bottomLeft" activeCell="L13" sqref="L13"/>
    </sheetView>
  </sheetViews>
  <sheetFormatPr defaultRowHeight="14.4" x14ac:dyDescent="0.3"/>
  <cols>
    <col min="2" max="2" width="7.21875" bestFit="1" customWidth="1"/>
    <col min="3" max="3" width="11.44140625" bestFit="1" customWidth="1"/>
    <col min="4" max="4" width="10.6640625" bestFit="1" customWidth="1"/>
    <col min="5" max="5" width="8.88671875" bestFit="1" customWidth="1"/>
    <col min="6" max="6" width="14.33203125" bestFit="1" customWidth="1"/>
    <col min="7" max="7" width="11.33203125" bestFit="1" customWidth="1"/>
    <col min="8" max="8" width="14.33203125" customWidth="1"/>
    <col min="9" max="9" width="13" bestFit="1" customWidth="1"/>
    <col min="10" max="10" width="14.88671875" customWidth="1"/>
    <col min="11" max="11" width="8.44140625" bestFit="1" customWidth="1"/>
    <col min="12" max="12" width="10" bestFit="1" customWidth="1"/>
    <col min="13" max="13" width="8.109375" bestFit="1" customWidth="1"/>
    <col min="14" max="14" width="9.109375" customWidth="1"/>
  </cols>
  <sheetData>
    <row r="1" spans="2:14" x14ac:dyDescent="0.3">
      <c r="I1" s="1" t="s">
        <v>0</v>
      </c>
      <c r="J1" s="2" t="str" cm="1">
        <f t="array" ref="J1:N1">TRANSPOSE( _xlfn.UNIQUE(check_assessment[Revenda],FALSE,FALSE))</f>
        <v>Duttra MA</v>
      </c>
      <c r="K1" s="2" t="str">
        <v>Duttra FL</v>
      </c>
      <c r="L1" s="2" t="str">
        <v>Duttra SRN</v>
      </c>
      <c r="M1" s="2" t="str">
        <v>Forte QX</v>
      </c>
      <c r="N1" s="2" t="str">
        <v>Forte AR</v>
      </c>
    </row>
    <row r="2" spans="2:14" x14ac:dyDescent="0.3">
      <c r="I2" s="1" t="s">
        <v>1</v>
      </c>
      <c r="J2" s="3">
        <f>COUNTIFS(check_assessment[Revenda],J1,check_assessment[Evidencia],"Sim")</f>
        <v>50</v>
      </c>
      <c r="K2" s="3">
        <f>COUNTIFS(check_assessment[Revenda],K1,check_assessment[Evidencia],"Sim")</f>
        <v>50</v>
      </c>
      <c r="L2" s="3">
        <f>COUNTIFS(check_assessment[Revenda],L1,check_assessment[Evidencia],"Sim")</f>
        <v>47</v>
      </c>
      <c r="M2" s="3">
        <f>COUNTIFS(check_assessment[Revenda],M1,check_assessment[Evidencia],"Sim")</f>
        <v>2</v>
      </c>
      <c r="N2" s="3">
        <f>COUNTIFS(check_assessment[Revenda],N1,check_assessment[Evidencia],"Sim")</f>
        <v>0</v>
      </c>
    </row>
    <row r="4" spans="2:14" x14ac:dyDescent="0.3">
      <c r="B4" s="4" t="s">
        <v>2</v>
      </c>
      <c r="C4" s="4" t="s">
        <v>3</v>
      </c>
      <c r="D4" s="5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7" t="s">
        <v>9</v>
      </c>
      <c r="J4" s="4" t="s">
        <v>10</v>
      </c>
    </row>
    <row r="5" spans="2:14" x14ac:dyDescent="0.3">
      <c r="B5" s="8">
        <v>46113</v>
      </c>
      <c r="C5">
        <v>214918</v>
      </c>
      <c r="D5" t="s">
        <v>11</v>
      </c>
      <c r="E5" t="s">
        <v>12</v>
      </c>
      <c r="F5" t="s">
        <v>13</v>
      </c>
      <c r="G5" t="s">
        <v>13</v>
      </c>
      <c r="I5" s="9">
        <v>0.35416666666666669</v>
      </c>
      <c r="J5" t="str">
        <f>VLOOKUP(E5,[1]!assessment[#Data],4,1)</f>
        <v>ADMINISTRATIVO</v>
      </c>
    </row>
    <row r="6" spans="2:14" x14ac:dyDescent="0.3">
      <c r="B6" s="8">
        <v>46113</v>
      </c>
      <c r="C6">
        <v>214918</v>
      </c>
      <c r="D6" t="s">
        <v>11</v>
      </c>
      <c r="E6" t="s">
        <v>14</v>
      </c>
      <c r="F6" t="s">
        <v>13</v>
      </c>
      <c r="G6" t="s">
        <v>13</v>
      </c>
      <c r="I6" s="9">
        <v>0.35416666666666669</v>
      </c>
      <c r="J6" t="str">
        <f>VLOOKUP(E6,[1]!assessment[#Data],4,1)</f>
        <v>ADMINISTRATIVO</v>
      </c>
    </row>
    <row r="7" spans="2:14" x14ac:dyDescent="0.3">
      <c r="B7" s="8">
        <v>46113</v>
      </c>
      <c r="C7">
        <v>214918</v>
      </c>
      <c r="D7" t="s">
        <v>11</v>
      </c>
      <c r="E7" t="s">
        <v>15</v>
      </c>
      <c r="F7" t="s">
        <v>16</v>
      </c>
      <c r="G7" t="s">
        <v>16</v>
      </c>
      <c r="H7" t="s">
        <v>17</v>
      </c>
      <c r="I7" s="9">
        <v>0.35416666666666669</v>
      </c>
      <c r="J7" t="str">
        <f>VLOOKUP(E7,[1]!assessment[#Data],4,1)</f>
        <v>ADMINISTRATIVO</v>
      </c>
    </row>
    <row r="8" spans="2:14" x14ac:dyDescent="0.3">
      <c r="B8" s="8">
        <v>46113</v>
      </c>
      <c r="C8">
        <v>214918</v>
      </c>
      <c r="D8" t="s">
        <v>11</v>
      </c>
      <c r="E8" t="s">
        <v>18</v>
      </c>
      <c r="F8" t="s">
        <v>13</v>
      </c>
      <c r="G8" t="s">
        <v>13</v>
      </c>
      <c r="I8" s="9">
        <v>0.35416666666666669</v>
      </c>
      <c r="J8" t="str">
        <f>VLOOKUP(E8,[1]!assessment[#Data],4,1)</f>
        <v>ADMINISTRATIVO</v>
      </c>
    </row>
    <row r="9" spans="2:14" x14ac:dyDescent="0.3">
      <c r="B9" s="8">
        <v>46113</v>
      </c>
      <c r="C9">
        <v>214918</v>
      </c>
      <c r="D9" t="s">
        <v>11</v>
      </c>
      <c r="E9" t="s">
        <v>19</v>
      </c>
      <c r="F9" t="s">
        <v>13</v>
      </c>
      <c r="G9" t="s">
        <v>13</v>
      </c>
      <c r="I9" s="9">
        <v>0.35416666666666669</v>
      </c>
      <c r="J9" t="str">
        <f>VLOOKUP(E9,[1]!assessment[#Data],4,1)</f>
        <v>ADMINISTRATIVO</v>
      </c>
    </row>
    <row r="10" spans="2:14" x14ac:dyDescent="0.3">
      <c r="B10" s="8">
        <v>46113</v>
      </c>
      <c r="C10">
        <v>214918</v>
      </c>
      <c r="D10" t="s">
        <v>11</v>
      </c>
      <c r="E10" t="s">
        <v>20</v>
      </c>
      <c r="F10" t="s">
        <v>16</v>
      </c>
      <c r="G10" t="s">
        <v>16</v>
      </c>
      <c r="H10" t="s">
        <v>17</v>
      </c>
      <c r="I10" s="9">
        <v>0.35416666666666669</v>
      </c>
      <c r="J10" t="str">
        <f>VLOOKUP(E10,[1]!assessment[#Data],4,1)</f>
        <v>ADMINISTRATIVO</v>
      </c>
    </row>
    <row r="11" spans="2:14" x14ac:dyDescent="0.3">
      <c r="B11" s="8">
        <v>46113</v>
      </c>
      <c r="C11">
        <v>214918</v>
      </c>
      <c r="D11" t="s">
        <v>11</v>
      </c>
      <c r="E11" t="s">
        <v>21</v>
      </c>
      <c r="F11" t="s">
        <v>16</v>
      </c>
      <c r="G11" t="s">
        <v>16</v>
      </c>
      <c r="H11" t="s">
        <v>22</v>
      </c>
      <c r="I11" s="9">
        <v>0.35416666666666669</v>
      </c>
      <c r="J11" t="str">
        <f>VLOOKUP(E11,[1]!assessment[#Data],4,1)</f>
        <v>ADMINISTRATIVO</v>
      </c>
    </row>
    <row r="12" spans="2:14" x14ac:dyDescent="0.3">
      <c r="B12" s="8">
        <v>46113</v>
      </c>
      <c r="C12">
        <v>214918</v>
      </c>
      <c r="D12" t="s">
        <v>11</v>
      </c>
      <c r="E12" t="s">
        <v>23</v>
      </c>
      <c r="F12" t="s">
        <v>16</v>
      </c>
      <c r="G12" t="s">
        <v>16</v>
      </c>
      <c r="H12" t="s">
        <v>17</v>
      </c>
      <c r="I12" s="9">
        <v>0.35416666666666669</v>
      </c>
      <c r="J12" t="str">
        <f>VLOOKUP(E12,[1]!assessment[#Data],4,1)</f>
        <v>ADMINISTRATIVO</v>
      </c>
    </row>
    <row r="13" spans="2:14" x14ac:dyDescent="0.3">
      <c r="B13" s="8">
        <v>46113</v>
      </c>
      <c r="C13">
        <v>214918</v>
      </c>
      <c r="D13" t="s">
        <v>11</v>
      </c>
      <c r="E13" t="s">
        <v>24</v>
      </c>
      <c r="F13" t="s">
        <v>16</v>
      </c>
      <c r="G13" t="s">
        <v>16</v>
      </c>
      <c r="H13" t="s">
        <v>17</v>
      </c>
      <c r="I13" s="9">
        <v>0.35416666666666669</v>
      </c>
      <c r="J13" t="str">
        <f>VLOOKUP(E13,[1]!assessment[#Data],4,1)</f>
        <v>ADMINISTRATIVO</v>
      </c>
    </row>
    <row r="14" spans="2:14" x14ac:dyDescent="0.3">
      <c r="B14" s="8">
        <v>46113</v>
      </c>
      <c r="C14">
        <v>214918</v>
      </c>
      <c r="D14" t="s">
        <v>11</v>
      </c>
      <c r="E14" t="s">
        <v>25</v>
      </c>
      <c r="F14" t="s">
        <v>13</v>
      </c>
      <c r="G14" t="s">
        <v>13</v>
      </c>
      <c r="I14" s="9">
        <v>0.35416666666666669</v>
      </c>
      <c r="J14" t="str">
        <f>VLOOKUP(E14,[1]!assessment[#Data],4,1)</f>
        <v>ADMINISTRATIVO</v>
      </c>
    </row>
    <row r="15" spans="2:14" x14ac:dyDescent="0.3">
      <c r="B15" s="8">
        <v>46113</v>
      </c>
      <c r="C15">
        <v>214918</v>
      </c>
      <c r="D15" t="s">
        <v>11</v>
      </c>
      <c r="E15" t="s">
        <v>26</v>
      </c>
      <c r="F15" t="s">
        <v>13</v>
      </c>
      <c r="G15" t="s">
        <v>13</v>
      </c>
      <c r="I15" s="9">
        <v>0.35416666666666669</v>
      </c>
      <c r="J15" t="str">
        <f>VLOOKUP(E15,[1]!assessment[#Data],4,1)</f>
        <v>ADMINISTRATIVO</v>
      </c>
    </row>
    <row r="16" spans="2:14" x14ac:dyDescent="0.3">
      <c r="B16" s="8">
        <v>46113</v>
      </c>
      <c r="C16">
        <v>214918</v>
      </c>
      <c r="D16" t="s">
        <v>11</v>
      </c>
      <c r="E16" t="s">
        <v>27</v>
      </c>
      <c r="F16" t="s">
        <v>13</v>
      </c>
      <c r="G16" t="s">
        <v>13</v>
      </c>
      <c r="I16" s="9">
        <v>0.35416666666666669</v>
      </c>
      <c r="J16" t="str">
        <f>VLOOKUP(E16,[1]!assessment[#Data],4,1)</f>
        <v>ARMAZÉM</v>
      </c>
    </row>
    <row r="17" spans="2:10" x14ac:dyDescent="0.3">
      <c r="B17" s="8">
        <v>46113</v>
      </c>
      <c r="C17">
        <v>214918</v>
      </c>
      <c r="D17" t="s">
        <v>11</v>
      </c>
      <c r="E17" t="s">
        <v>28</v>
      </c>
      <c r="F17" t="s">
        <v>13</v>
      </c>
      <c r="G17" t="s">
        <v>13</v>
      </c>
      <c r="I17" s="9">
        <v>0.35416666666666669</v>
      </c>
      <c r="J17" t="str">
        <f>VLOOKUP(E17,[1]!assessment[#Data],4,1)</f>
        <v>ARMAZÉM</v>
      </c>
    </row>
    <row r="18" spans="2:10" x14ac:dyDescent="0.3">
      <c r="B18" s="8">
        <v>46113</v>
      </c>
      <c r="C18">
        <v>214918</v>
      </c>
      <c r="D18" t="s">
        <v>11</v>
      </c>
      <c r="E18" t="s">
        <v>29</v>
      </c>
      <c r="F18" t="s">
        <v>13</v>
      </c>
      <c r="G18" t="s">
        <v>13</v>
      </c>
      <c r="I18" s="9">
        <v>0.35416666666666669</v>
      </c>
      <c r="J18" t="str">
        <f>VLOOKUP(E18,[1]!assessment[#Data],4,1)</f>
        <v>ARMAZÉM</v>
      </c>
    </row>
    <row r="19" spans="2:10" x14ac:dyDescent="0.3">
      <c r="B19" s="8">
        <v>46113</v>
      </c>
      <c r="C19">
        <v>214918</v>
      </c>
      <c r="D19" t="s">
        <v>11</v>
      </c>
      <c r="E19" t="s">
        <v>30</v>
      </c>
      <c r="F19" t="s">
        <v>13</v>
      </c>
      <c r="G19" t="s">
        <v>13</v>
      </c>
      <c r="I19" s="9">
        <v>0.35416666666666669</v>
      </c>
      <c r="J19" t="str">
        <f>VLOOKUP(E19,[1]!assessment[#Data],4,1)</f>
        <v>ARMAZÉM</v>
      </c>
    </row>
    <row r="20" spans="2:10" x14ac:dyDescent="0.3">
      <c r="B20" s="8">
        <v>46113</v>
      </c>
      <c r="C20">
        <v>214918</v>
      </c>
      <c r="D20" t="s">
        <v>11</v>
      </c>
      <c r="E20" t="s">
        <v>31</v>
      </c>
      <c r="F20" t="s">
        <v>13</v>
      </c>
      <c r="G20" t="s">
        <v>13</v>
      </c>
      <c r="I20" s="9">
        <v>0.35416666666666669</v>
      </c>
      <c r="J20" t="str">
        <f>VLOOKUP(E20,[1]!assessment[#Data],4,1)</f>
        <v>ARMAZÉM</v>
      </c>
    </row>
    <row r="21" spans="2:10" x14ac:dyDescent="0.3">
      <c r="B21" s="8">
        <v>46113</v>
      </c>
      <c r="C21">
        <v>214918</v>
      </c>
      <c r="D21" t="s">
        <v>11</v>
      </c>
      <c r="E21" t="s">
        <v>32</v>
      </c>
      <c r="F21" t="s">
        <v>13</v>
      </c>
      <c r="G21" t="s">
        <v>13</v>
      </c>
      <c r="I21" s="9">
        <v>0.35416666666666669</v>
      </c>
      <c r="J21" t="str">
        <f>VLOOKUP(E21,[1]!assessment[#Data],4,1)</f>
        <v>ARMAZÉM</v>
      </c>
    </row>
    <row r="22" spans="2:10" x14ac:dyDescent="0.3">
      <c r="B22" s="8">
        <v>46113</v>
      </c>
      <c r="C22">
        <v>214918</v>
      </c>
      <c r="D22" t="s">
        <v>11</v>
      </c>
      <c r="E22" t="s">
        <v>33</v>
      </c>
      <c r="F22" t="s">
        <v>16</v>
      </c>
      <c r="G22" s="10" t="s">
        <v>13</v>
      </c>
      <c r="H22" s="10" t="s">
        <v>22</v>
      </c>
      <c r="I22" s="9">
        <v>0.35416666666666669</v>
      </c>
      <c r="J22" t="str">
        <f>VLOOKUP(E22,[1]!assessment[#Data],4,1)</f>
        <v>ARMAZÉM</v>
      </c>
    </row>
    <row r="23" spans="2:10" x14ac:dyDescent="0.3">
      <c r="B23" s="8">
        <v>46113</v>
      </c>
      <c r="C23">
        <v>214918</v>
      </c>
      <c r="D23" t="s">
        <v>11</v>
      </c>
      <c r="E23" t="s">
        <v>34</v>
      </c>
      <c r="F23" s="10" t="s">
        <v>16</v>
      </c>
      <c r="G23" s="10" t="s">
        <v>16</v>
      </c>
      <c r="H23" s="10" t="s">
        <v>17</v>
      </c>
      <c r="I23" s="9">
        <v>0.35416666666666669</v>
      </c>
      <c r="J23" t="str">
        <f>VLOOKUP(E23,[1]!assessment[#Data],4,1)</f>
        <v>ARMAZÉM</v>
      </c>
    </row>
    <row r="24" spans="2:10" x14ac:dyDescent="0.3">
      <c r="B24" s="8">
        <v>46113</v>
      </c>
      <c r="C24">
        <v>214918</v>
      </c>
      <c r="D24" t="s">
        <v>11</v>
      </c>
      <c r="E24" t="s">
        <v>35</v>
      </c>
      <c r="F24" s="10" t="s">
        <v>16</v>
      </c>
      <c r="G24" s="10" t="s">
        <v>16</v>
      </c>
      <c r="H24" s="10" t="s">
        <v>17</v>
      </c>
      <c r="I24" s="9">
        <v>0.35416666666666669</v>
      </c>
      <c r="J24" t="str">
        <f>VLOOKUP(E24,[1]!assessment[#Data],4,1)</f>
        <v>ARMAZÉM</v>
      </c>
    </row>
    <row r="25" spans="2:10" x14ac:dyDescent="0.3">
      <c r="B25" s="8">
        <v>46113</v>
      </c>
      <c r="C25">
        <v>214918</v>
      </c>
      <c r="D25" t="s">
        <v>11</v>
      </c>
      <c r="E25" t="s">
        <v>36</v>
      </c>
      <c r="F25" t="s">
        <v>13</v>
      </c>
      <c r="G25" s="10" t="s">
        <v>13</v>
      </c>
      <c r="I25" s="9">
        <v>0.35416666666666669</v>
      </c>
      <c r="J25" t="str">
        <f>VLOOKUP(E25,[1]!assessment[#Data],4,1)</f>
        <v>ARMAZÉM</v>
      </c>
    </row>
    <row r="26" spans="2:10" x14ac:dyDescent="0.3">
      <c r="B26" s="8">
        <v>46113</v>
      </c>
      <c r="C26">
        <v>214918</v>
      </c>
      <c r="D26" t="s">
        <v>11</v>
      </c>
      <c r="E26" t="s">
        <v>37</v>
      </c>
      <c r="F26" s="10" t="s">
        <v>16</v>
      </c>
      <c r="G26" s="10" t="s">
        <v>16</v>
      </c>
      <c r="H26" s="10" t="s">
        <v>17</v>
      </c>
      <c r="I26" s="9">
        <v>0.35416666666666669</v>
      </c>
      <c r="J26" t="str">
        <f>VLOOKUP(E26,[1]!assessment[#Data],4,1)</f>
        <v>COMODATO</v>
      </c>
    </row>
    <row r="27" spans="2:10" x14ac:dyDescent="0.3">
      <c r="B27" s="8">
        <v>46113</v>
      </c>
      <c r="C27">
        <v>214918</v>
      </c>
      <c r="D27" t="s">
        <v>11</v>
      </c>
      <c r="E27" t="s">
        <v>38</v>
      </c>
      <c r="F27" s="10" t="s">
        <v>16</v>
      </c>
      <c r="G27" s="10" t="s">
        <v>16</v>
      </c>
      <c r="H27" s="10" t="s">
        <v>17</v>
      </c>
      <c r="I27" s="9">
        <v>0.35416666666666669</v>
      </c>
      <c r="J27" t="str">
        <f>VLOOKUP(E27,[1]!assessment[#Data],4,1)</f>
        <v>COMODATO</v>
      </c>
    </row>
    <row r="28" spans="2:10" x14ac:dyDescent="0.3">
      <c r="B28" s="8">
        <v>46113</v>
      </c>
      <c r="C28">
        <v>214918</v>
      </c>
      <c r="D28" t="s">
        <v>11</v>
      </c>
      <c r="E28" t="s">
        <v>39</v>
      </c>
      <c r="F28" s="10" t="s">
        <v>16</v>
      </c>
      <c r="G28" s="10" t="s">
        <v>16</v>
      </c>
      <c r="H28" t="s">
        <v>17</v>
      </c>
      <c r="I28" s="9">
        <v>0.35416666666666669</v>
      </c>
      <c r="J28" t="str">
        <f>VLOOKUP(E28,[1]!assessment[#Data],4,1)</f>
        <v>COMODATO</v>
      </c>
    </row>
    <row r="29" spans="2:10" x14ac:dyDescent="0.3">
      <c r="B29" s="8">
        <v>46113</v>
      </c>
      <c r="C29">
        <v>214918</v>
      </c>
      <c r="D29" t="s">
        <v>11</v>
      </c>
      <c r="E29" t="s">
        <v>40</v>
      </c>
      <c r="F29" s="10" t="s">
        <v>16</v>
      </c>
      <c r="G29" s="10" t="s">
        <v>16</v>
      </c>
      <c r="H29" s="10" t="s">
        <v>41</v>
      </c>
      <c r="I29" s="9">
        <v>0.35416666666666669</v>
      </c>
      <c r="J29" t="str">
        <f>VLOOKUP(E29,[1]!assessment[#Data],4,1)</f>
        <v>COMERCIAL</v>
      </c>
    </row>
    <row r="30" spans="2:10" x14ac:dyDescent="0.3">
      <c r="B30" s="8">
        <v>46113</v>
      </c>
      <c r="C30">
        <v>214918</v>
      </c>
      <c r="D30" t="s">
        <v>11</v>
      </c>
      <c r="E30" t="s">
        <v>42</v>
      </c>
      <c r="F30" s="10" t="s">
        <v>16</v>
      </c>
      <c r="G30" s="10" t="s">
        <v>16</v>
      </c>
      <c r="H30" s="10" t="s">
        <v>41</v>
      </c>
      <c r="I30" s="9">
        <v>0.35416666666666669</v>
      </c>
      <c r="J30" t="str">
        <f>VLOOKUP(E30,[1]!assessment[#Data],4,1)</f>
        <v>COMERCIAL</v>
      </c>
    </row>
    <row r="31" spans="2:10" x14ac:dyDescent="0.3">
      <c r="B31" s="8">
        <v>46113</v>
      </c>
      <c r="C31">
        <v>214918</v>
      </c>
      <c r="D31" t="s">
        <v>11</v>
      </c>
      <c r="E31" t="s">
        <v>43</v>
      </c>
      <c r="F31" t="s">
        <v>13</v>
      </c>
      <c r="G31" s="10" t="s">
        <v>13</v>
      </c>
      <c r="H31" t="s">
        <v>44</v>
      </c>
      <c r="I31" s="9">
        <v>0.35416666666666669</v>
      </c>
      <c r="J31" t="str">
        <f>VLOOKUP(E31,[1]!assessment[#Data],4,1)</f>
        <v>COMERCIAL</v>
      </c>
    </row>
    <row r="32" spans="2:10" x14ac:dyDescent="0.3">
      <c r="B32" s="8">
        <v>46113</v>
      </c>
      <c r="C32">
        <v>214918</v>
      </c>
      <c r="D32" t="s">
        <v>11</v>
      </c>
      <c r="E32" t="s">
        <v>45</v>
      </c>
      <c r="F32" t="s">
        <v>13</v>
      </c>
      <c r="G32" s="10" t="s">
        <v>13</v>
      </c>
      <c r="I32" s="9">
        <v>0.35416666666666669</v>
      </c>
      <c r="J32" t="str">
        <f>VLOOKUP(E32,[1]!assessment[#Data],4,1)</f>
        <v>COMERCIAL</v>
      </c>
    </row>
    <row r="33" spans="2:10" x14ac:dyDescent="0.3">
      <c r="B33" s="8">
        <v>46113</v>
      </c>
      <c r="C33">
        <v>214918</v>
      </c>
      <c r="D33" t="s">
        <v>11</v>
      </c>
      <c r="E33" t="s">
        <v>46</v>
      </c>
      <c r="F33" t="s">
        <v>13</v>
      </c>
      <c r="G33" s="10" t="s">
        <v>13</v>
      </c>
      <c r="I33" s="9">
        <v>0.35416666666666669</v>
      </c>
      <c r="J33" t="str">
        <f>VLOOKUP(E33,[1]!assessment[#Data],4,1)</f>
        <v>COMERCIAL</v>
      </c>
    </row>
    <row r="34" spans="2:10" x14ac:dyDescent="0.3">
      <c r="B34" s="8">
        <v>46113</v>
      </c>
      <c r="C34">
        <v>214918</v>
      </c>
      <c r="D34" t="s">
        <v>11</v>
      </c>
      <c r="E34" t="s">
        <v>47</v>
      </c>
      <c r="F34" t="s">
        <v>13</v>
      </c>
      <c r="G34" s="10" t="s">
        <v>13</v>
      </c>
      <c r="I34" s="9">
        <v>0.35416666666666669</v>
      </c>
      <c r="J34" t="str">
        <f>VLOOKUP(E34,[1]!assessment[#Data],4,1)</f>
        <v>COMERCIAL</v>
      </c>
    </row>
    <row r="35" spans="2:10" x14ac:dyDescent="0.3">
      <c r="B35" s="8">
        <v>46113</v>
      </c>
      <c r="C35">
        <v>214918</v>
      </c>
      <c r="D35" t="s">
        <v>11</v>
      </c>
      <c r="E35" t="s">
        <v>48</v>
      </c>
      <c r="F35" t="s">
        <v>13</v>
      </c>
      <c r="G35" s="10" t="s">
        <v>13</v>
      </c>
      <c r="I35" s="9">
        <v>0.35416666666666669</v>
      </c>
      <c r="J35" t="str">
        <f>VLOOKUP(E35,[1]!assessment[#Data],4,1)</f>
        <v>COMERCIAL</v>
      </c>
    </row>
    <row r="36" spans="2:10" x14ac:dyDescent="0.3">
      <c r="B36" s="8">
        <v>46113</v>
      </c>
      <c r="C36">
        <v>214918</v>
      </c>
      <c r="D36" t="s">
        <v>11</v>
      </c>
      <c r="E36" t="s">
        <v>49</v>
      </c>
      <c r="F36" s="10" t="s">
        <v>16</v>
      </c>
      <c r="G36" s="10" t="s">
        <v>16</v>
      </c>
      <c r="H36" s="10" t="s">
        <v>41</v>
      </c>
      <c r="I36" s="9">
        <v>0.35416666666666669</v>
      </c>
      <c r="J36" t="str">
        <f>VLOOKUP(E36,[1]!assessment[#Data],4,1)</f>
        <v>COMERCIAL</v>
      </c>
    </row>
    <row r="37" spans="2:10" x14ac:dyDescent="0.3">
      <c r="B37" s="8">
        <v>46113</v>
      </c>
      <c r="C37">
        <v>214918</v>
      </c>
      <c r="D37" t="s">
        <v>11</v>
      </c>
      <c r="E37" t="s">
        <v>50</v>
      </c>
      <c r="F37" s="10" t="s">
        <v>16</v>
      </c>
      <c r="G37" s="10" t="s">
        <v>16</v>
      </c>
      <c r="H37" s="10" t="s">
        <v>41</v>
      </c>
      <c r="I37" s="9">
        <v>0.35416666666666669</v>
      </c>
      <c r="J37" t="str">
        <f>VLOOKUP(E37,[1]!assessment[#Data],4,1)</f>
        <v>COMERCIAL</v>
      </c>
    </row>
    <row r="38" spans="2:10" x14ac:dyDescent="0.3">
      <c r="B38" s="8">
        <v>46113</v>
      </c>
      <c r="C38">
        <v>214918</v>
      </c>
      <c r="D38" t="s">
        <v>11</v>
      </c>
      <c r="E38" t="s">
        <v>51</v>
      </c>
      <c r="F38" s="10" t="s">
        <v>16</v>
      </c>
      <c r="G38" s="10" t="s">
        <v>16</v>
      </c>
      <c r="H38" s="10" t="s">
        <v>41</v>
      </c>
      <c r="I38" s="9">
        <v>0.35416666666666669</v>
      </c>
      <c r="J38" t="str">
        <f>VLOOKUP(E38,[1]!assessment[#Data],4,1)</f>
        <v>COMERCIAL</v>
      </c>
    </row>
    <row r="39" spans="2:10" x14ac:dyDescent="0.3">
      <c r="B39" s="8">
        <v>46113</v>
      </c>
      <c r="C39">
        <v>214918</v>
      </c>
      <c r="D39" t="s">
        <v>11</v>
      </c>
      <c r="E39" t="s">
        <v>52</v>
      </c>
      <c r="F39" s="10" t="s">
        <v>16</v>
      </c>
      <c r="G39" s="10" t="s">
        <v>16</v>
      </c>
      <c r="H39" s="10" t="s">
        <v>41</v>
      </c>
      <c r="I39" s="9">
        <v>0.35416666666666669</v>
      </c>
      <c r="J39" t="str">
        <f>VLOOKUP(E39,[1]!assessment[#Data],4,1)</f>
        <v>COMERCIAL</v>
      </c>
    </row>
    <row r="40" spans="2:10" x14ac:dyDescent="0.3">
      <c r="B40" s="8">
        <v>46113</v>
      </c>
      <c r="C40">
        <v>214918</v>
      </c>
      <c r="D40" t="s">
        <v>11</v>
      </c>
      <c r="E40" t="s">
        <v>53</v>
      </c>
      <c r="F40" t="s">
        <v>13</v>
      </c>
      <c r="G40" s="10" t="s">
        <v>13</v>
      </c>
      <c r="I40" s="9">
        <v>0.35416666666666669</v>
      </c>
      <c r="J40" t="str">
        <f>VLOOKUP(E40,[1]!assessment[#Data],4,1)</f>
        <v>COMERCIAL</v>
      </c>
    </row>
    <row r="41" spans="2:10" x14ac:dyDescent="0.3">
      <c r="B41" s="8">
        <v>46113</v>
      </c>
      <c r="C41">
        <v>214918</v>
      </c>
      <c r="D41" t="s">
        <v>11</v>
      </c>
      <c r="E41" t="s">
        <v>54</v>
      </c>
      <c r="F41" s="10" t="s">
        <v>16</v>
      </c>
      <c r="G41" s="10" t="s">
        <v>16</v>
      </c>
      <c r="H41" s="10" t="s">
        <v>41</v>
      </c>
      <c r="I41" s="9">
        <v>0.35416666666666669</v>
      </c>
      <c r="J41" t="str">
        <f>VLOOKUP(E41,[1]!assessment[#Data],4,1)</f>
        <v>COMERCIAL</v>
      </c>
    </row>
    <row r="42" spans="2:10" x14ac:dyDescent="0.3">
      <c r="B42" s="8">
        <v>46113</v>
      </c>
      <c r="C42">
        <v>214918</v>
      </c>
      <c r="D42" t="s">
        <v>11</v>
      </c>
      <c r="E42" t="s">
        <v>55</v>
      </c>
      <c r="F42" s="10" t="s">
        <v>16</v>
      </c>
      <c r="G42" s="10" t="s">
        <v>16</v>
      </c>
      <c r="H42" s="10" t="s">
        <v>41</v>
      </c>
      <c r="I42" s="9">
        <v>0.35416666666666669</v>
      </c>
      <c r="J42" t="str">
        <f>VLOOKUP(E42,[1]!assessment[#Data],4,1)</f>
        <v>COMERCIAL</v>
      </c>
    </row>
    <row r="43" spans="2:10" x14ac:dyDescent="0.3">
      <c r="B43" s="8">
        <v>46113</v>
      </c>
      <c r="C43">
        <v>214918</v>
      </c>
      <c r="D43" t="s">
        <v>11</v>
      </c>
      <c r="E43" t="s">
        <v>56</v>
      </c>
      <c r="F43" s="10" t="s">
        <v>16</v>
      </c>
      <c r="G43" s="10" t="s">
        <v>16</v>
      </c>
      <c r="H43" s="10" t="s">
        <v>41</v>
      </c>
      <c r="I43" s="9">
        <v>0.35416666666666669</v>
      </c>
      <c r="J43" t="str">
        <f>VLOOKUP(E43,[1]!assessment[#Data],4,1)</f>
        <v>COMERCIAL</v>
      </c>
    </row>
    <row r="44" spans="2:10" x14ac:dyDescent="0.3">
      <c r="B44" s="8">
        <v>46113</v>
      </c>
      <c r="C44">
        <v>214918</v>
      </c>
      <c r="D44" t="s">
        <v>11</v>
      </c>
      <c r="E44" t="s">
        <v>57</v>
      </c>
      <c r="F44" s="10" t="s">
        <v>16</v>
      </c>
      <c r="G44" s="10" t="s">
        <v>16</v>
      </c>
      <c r="H44" s="10" t="s">
        <v>41</v>
      </c>
      <c r="I44" s="9">
        <v>0.35416666666666669</v>
      </c>
      <c r="J44" t="str">
        <f>VLOOKUP(E44,[1]!assessment[#Data],4,1)</f>
        <v>COMERCIAL</v>
      </c>
    </row>
    <row r="45" spans="2:10" x14ac:dyDescent="0.3">
      <c r="B45" s="8">
        <v>46113</v>
      </c>
      <c r="C45">
        <v>214918</v>
      </c>
      <c r="D45" t="s">
        <v>11</v>
      </c>
      <c r="E45" t="s">
        <v>58</v>
      </c>
      <c r="F45" t="s">
        <v>13</v>
      </c>
      <c r="G45" s="10" t="s">
        <v>13</v>
      </c>
      <c r="I45" s="9">
        <v>0.35416666666666669</v>
      </c>
      <c r="J45" t="str">
        <f>VLOOKUP(E45,[1]!assessment[#Data],4,1)</f>
        <v>COMERCIAL</v>
      </c>
    </row>
    <row r="46" spans="2:10" x14ac:dyDescent="0.3">
      <c r="B46" s="8">
        <v>46113</v>
      </c>
      <c r="C46">
        <v>214918</v>
      </c>
      <c r="D46" t="s">
        <v>11</v>
      </c>
      <c r="E46" t="s">
        <v>59</v>
      </c>
      <c r="F46" s="10" t="s">
        <v>16</v>
      </c>
      <c r="G46" s="10" t="s">
        <v>16</v>
      </c>
      <c r="H46" s="10" t="s">
        <v>41</v>
      </c>
      <c r="I46" s="9">
        <v>0.35416666666666669</v>
      </c>
      <c r="J46" t="str">
        <f>VLOOKUP(E46,[1]!assessment[#Data],4,1)</f>
        <v>COMERCIAL</v>
      </c>
    </row>
    <row r="47" spans="2:10" x14ac:dyDescent="0.3">
      <c r="B47" s="8">
        <v>46113</v>
      </c>
      <c r="C47">
        <v>214918</v>
      </c>
      <c r="D47" t="s">
        <v>11</v>
      </c>
      <c r="E47" t="s">
        <v>60</v>
      </c>
      <c r="F47" s="10" t="s">
        <v>16</v>
      </c>
      <c r="G47" s="10" t="s">
        <v>16</v>
      </c>
      <c r="H47" s="10" t="s">
        <v>41</v>
      </c>
      <c r="I47" s="9">
        <v>0.35416666666666669</v>
      </c>
      <c r="J47" t="str">
        <f>VLOOKUP(E47,[1]!assessment[#Data],4,1)</f>
        <v>COMERCIAL</v>
      </c>
    </row>
    <row r="48" spans="2:10" x14ac:dyDescent="0.3">
      <c r="B48" s="8">
        <v>46113</v>
      </c>
      <c r="C48">
        <v>214918</v>
      </c>
      <c r="D48" t="s">
        <v>11</v>
      </c>
      <c r="E48" t="s">
        <v>61</v>
      </c>
      <c r="F48" s="10" t="s">
        <v>16</v>
      </c>
      <c r="G48" s="10" t="s">
        <v>16</v>
      </c>
      <c r="H48" s="10" t="s">
        <v>41</v>
      </c>
      <c r="I48" s="9">
        <v>0.35416666666666669</v>
      </c>
      <c r="J48" t="str">
        <f>VLOOKUP(E48,[1]!assessment[#Data],4,1)</f>
        <v>COMERCIAL</v>
      </c>
    </row>
    <row r="49" spans="2:10" x14ac:dyDescent="0.3">
      <c r="B49" s="8">
        <v>46113</v>
      </c>
      <c r="C49">
        <v>214918</v>
      </c>
      <c r="D49" t="s">
        <v>11</v>
      </c>
      <c r="E49" t="s">
        <v>62</v>
      </c>
      <c r="F49" s="10" t="s">
        <v>16</v>
      </c>
      <c r="G49" s="10" t="s">
        <v>16</v>
      </c>
      <c r="H49" s="10" t="s">
        <v>41</v>
      </c>
      <c r="I49" s="9">
        <v>0.35416666666666669</v>
      </c>
      <c r="J49" t="str">
        <f>VLOOKUP(E49,[1]!assessment[#Data],4,1)</f>
        <v>COMERCIAL</v>
      </c>
    </row>
    <row r="50" spans="2:10" x14ac:dyDescent="0.3">
      <c r="B50" s="8">
        <v>46113</v>
      </c>
      <c r="C50">
        <v>214918</v>
      </c>
      <c r="D50" t="s">
        <v>11</v>
      </c>
      <c r="E50" t="s">
        <v>63</v>
      </c>
      <c r="F50" s="10" t="s">
        <v>16</v>
      </c>
      <c r="G50" s="10" t="s">
        <v>16</v>
      </c>
      <c r="H50" s="10" t="s">
        <v>41</v>
      </c>
      <c r="I50" s="9">
        <v>0.35416666666666669</v>
      </c>
      <c r="J50" t="str">
        <f>VLOOKUP(E50,[1]!assessment[#Data],4,1)</f>
        <v>COMERCIAL</v>
      </c>
    </row>
    <row r="51" spans="2:10" x14ac:dyDescent="0.3">
      <c r="B51" s="8">
        <v>46113</v>
      </c>
      <c r="C51">
        <v>214918</v>
      </c>
      <c r="D51" t="s">
        <v>11</v>
      </c>
      <c r="E51" t="s">
        <v>64</v>
      </c>
      <c r="F51" s="10" t="s">
        <v>16</v>
      </c>
      <c r="G51" s="10" t="s">
        <v>16</v>
      </c>
      <c r="H51" s="10" t="s">
        <v>41</v>
      </c>
      <c r="I51" s="9">
        <v>0.35416666666666669</v>
      </c>
      <c r="J51" t="str">
        <f>VLOOKUP(E51,[1]!assessment[#Data],4,1)</f>
        <v>COMERCIAL</v>
      </c>
    </row>
    <row r="52" spans="2:10" x14ac:dyDescent="0.3">
      <c r="B52" s="8">
        <v>46113</v>
      </c>
      <c r="C52">
        <v>214918</v>
      </c>
      <c r="D52" t="s">
        <v>11</v>
      </c>
      <c r="E52" t="s">
        <v>65</v>
      </c>
      <c r="F52" t="s">
        <v>13</v>
      </c>
      <c r="G52" s="10" t="s">
        <v>13</v>
      </c>
      <c r="I52" s="9">
        <v>0.35416666666666669</v>
      </c>
      <c r="J52" t="str">
        <f>VLOOKUP(E52,[1]!assessment[#Data],4,1)</f>
        <v>COMERCIAL</v>
      </c>
    </row>
    <row r="53" spans="2:10" x14ac:dyDescent="0.3">
      <c r="B53" s="8">
        <v>46113</v>
      </c>
      <c r="C53">
        <v>214918</v>
      </c>
      <c r="D53" t="s">
        <v>11</v>
      </c>
      <c r="E53" t="s">
        <v>66</v>
      </c>
      <c r="F53" s="10" t="s">
        <v>16</v>
      </c>
      <c r="G53" s="10" t="s">
        <v>16</v>
      </c>
      <c r="H53" s="10" t="s">
        <v>41</v>
      </c>
      <c r="I53" s="9">
        <v>0.35416666666666669</v>
      </c>
      <c r="J53" t="str">
        <f>VLOOKUP(E53,[1]!assessment[#Data],4,1)</f>
        <v>COMERCIAL</v>
      </c>
    </row>
    <row r="54" spans="2:10" x14ac:dyDescent="0.3">
      <c r="B54" s="8">
        <v>46113</v>
      </c>
      <c r="C54">
        <v>214918</v>
      </c>
      <c r="D54" t="s">
        <v>11</v>
      </c>
      <c r="E54" t="s">
        <v>67</v>
      </c>
      <c r="F54" s="10" t="s">
        <v>16</v>
      </c>
      <c r="G54" s="10" t="s">
        <v>16</v>
      </c>
      <c r="H54" s="10" t="s">
        <v>41</v>
      </c>
      <c r="I54" s="9">
        <v>0.35416666666666669</v>
      </c>
      <c r="J54" t="str">
        <f>VLOOKUP(E54,[1]!assessment[#Data],4,1)</f>
        <v>COMERCIAL</v>
      </c>
    </row>
    <row r="55" spans="2:10" x14ac:dyDescent="0.3">
      <c r="B55" s="8">
        <v>46113</v>
      </c>
      <c r="C55">
        <v>214918</v>
      </c>
      <c r="D55" t="s">
        <v>11</v>
      </c>
      <c r="E55" t="s">
        <v>68</v>
      </c>
      <c r="F55" s="10" t="s">
        <v>16</v>
      </c>
      <c r="G55" s="10" t="s">
        <v>16</v>
      </c>
      <c r="H55" s="10" t="s">
        <v>41</v>
      </c>
      <c r="I55" s="9">
        <v>0.35416666666666669</v>
      </c>
      <c r="J55" t="str">
        <f>VLOOKUP(E55,[1]!assessment[#Data],4,1)</f>
        <v>COMERCIAL</v>
      </c>
    </row>
    <row r="56" spans="2:10" x14ac:dyDescent="0.3">
      <c r="B56" s="8">
        <v>46113</v>
      </c>
      <c r="C56">
        <v>214918</v>
      </c>
      <c r="D56" t="s">
        <v>11</v>
      </c>
      <c r="E56" t="s">
        <v>69</v>
      </c>
      <c r="F56" s="10" t="s">
        <v>16</v>
      </c>
      <c r="G56" s="10" t="s">
        <v>16</v>
      </c>
      <c r="H56" s="10" t="s">
        <v>41</v>
      </c>
      <c r="I56" s="9">
        <v>0.35416666666666669</v>
      </c>
      <c r="J56" t="str">
        <f>VLOOKUP(E56,[1]!assessment[#Data],4,1)</f>
        <v>COMERCIAL</v>
      </c>
    </row>
    <row r="57" spans="2:10" x14ac:dyDescent="0.3">
      <c r="B57" s="8">
        <v>46113</v>
      </c>
      <c r="C57">
        <v>214918</v>
      </c>
      <c r="D57" t="s">
        <v>11</v>
      </c>
      <c r="E57" t="s">
        <v>70</v>
      </c>
      <c r="F57" t="s">
        <v>13</v>
      </c>
      <c r="G57" s="10" t="s">
        <v>13</v>
      </c>
      <c r="I57" s="9">
        <v>0.35416666666666669</v>
      </c>
      <c r="J57" t="str">
        <f>VLOOKUP(E57,[1]!assessment[#Data],4,1)</f>
        <v>COMERCIAL</v>
      </c>
    </row>
    <row r="58" spans="2:10" x14ac:dyDescent="0.3">
      <c r="B58" s="8">
        <v>46113</v>
      </c>
      <c r="C58">
        <v>214918</v>
      </c>
      <c r="D58" t="s">
        <v>11</v>
      </c>
      <c r="E58" t="s">
        <v>71</v>
      </c>
      <c r="F58" s="10" t="s">
        <v>16</v>
      </c>
      <c r="G58" s="10" t="s">
        <v>16</v>
      </c>
      <c r="H58" s="10" t="s">
        <v>41</v>
      </c>
      <c r="I58" s="9">
        <v>0.35416666666666669</v>
      </c>
      <c r="J58" t="str">
        <f>VLOOKUP(E58,[1]!assessment[#Data],4,1)</f>
        <v>COMERCIAL</v>
      </c>
    </row>
    <row r="59" spans="2:10" x14ac:dyDescent="0.3">
      <c r="B59" s="8">
        <v>46113</v>
      </c>
      <c r="C59">
        <v>214918</v>
      </c>
      <c r="D59" t="s">
        <v>11</v>
      </c>
      <c r="E59" t="s">
        <v>72</v>
      </c>
      <c r="F59" s="10" t="s">
        <v>16</v>
      </c>
      <c r="G59" s="10" t="s">
        <v>16</v>
      </c>
      <c r="H59" s="10" t="s">
        <v>41</v>
      </c>
      <c r="I59" s="9">
        <v>0.35416666666666669</v>
      </c>
      <c r="J59" t="str">
        <f>VLOOKUP(E59,[1]!assessment[#Data],4,1)</f>
        <v>COMERCIAL</v>
      </c>
    </row>
    <row r="60" spans="2:10" x14ac:dyDescent="0.3">
      <c r="B60" s="8">
        <v>46113</v>
      </c>
      <c r="C60">
        <v>214918</v>
      </c>
      <c r="D60" t="s">
        <v>11</v>
      </c>
      <c r="E60" t="s">
        <v>73</v>
      </c>
      <c r="F60" t="s">
        <v>13</v>
      </c>
      <c r="G60" s="10" t="s">
        <v>13</v>
      </c>
      <c r="I60" s="9">
        <v>0.35416666666666669</v>
      </c>
      <c r="J60" t="str">
        <f>VLOOKUP(E60,[1]!assessment[#Data],4,1)</f>
        <v>DISTRIBUIÇÃO</v>
      </c>
    </row>
    <row r="61" spans="2:10" x14ac:dyDescent="0.3">
      <c r="B61" s="8">
        <v>46113</v>
      </c>
      <c r="C61">
        <v>214918</v>
      </c>
      <c r="D61" t="s">
        <v>11</v>
      </c>
      <c r="E61" t="s">
        <v>74</v>
      </c>
      <c r="F61" s="10" t="s">
        <v>16</v>
      </c>
      <c r="G61" s="10" t="s">
        <v>16</v>
      </c>
      <c r="H61" s="10" t="s">
        <v>17</v>
      </c>
      <c r="I61" s="9">
        <v>0.35416666666666669</v>
      </c>
      <c r="J61" t="str">
        <f>VLOOKUP(E61,[1]!assessment[#Data],4,1)</f>
        <v>DISTRIBUIÇÃO</v>
      </c>
    </row>
    <row r="62" spans="2:10" x14ac:dyDescent="0.3">
      <c r="B62" s="8">
        <v>46113</v>
      </c>
      <c r="C62">
        <v>214918</v>
      </c>
      <c r="D62" t="s">
        <v>11</v>
      </c>
      <c r="E62" t="s">
        <v>75</v>
      </c>
      <c r="F62" s="10" t="s">
        <v>16</v>
      </c>
      <c r="G62" s="10" t="s">
        <v>16</v>
      </c>
      <c r="H62" s="10" t="s">
        <v>17</v>
      </c>
      <c r="I62" s="9">
        <v>0.35416666666666669</v>
      </c>
      <c r="J62" t="str">
        <f>VLOOKUP(E62,[1]!assessment[#Data],4,1)</f>
        <v>DISTRIBUIÇÃO</v>
      </c>
    </row>
    <row r="63" spans="2:10" x14ac:dyDescent="0.3">
      <c r="B63" s="8">
        <v>46113</v>
      </c>
      <c r="C63">
        <v>214918</v>
      </c>
      <c r="D63" t="s">
        <v>11</v>
      </c>
      <c r="E63" t="s">
        <v>76</v>
      </c>
      <c r="F63" t="s">
        <v>13</v>
      </c>
      <c r="G63" s="10" t="s">
        <v>13</v>
      </c>
      <c r="I63" s="9">
        <v>0.35416666666666669</v>
      </c>
      <c r="J63" t="str">
        <f>VLOOKUP(E63,[1]!assessment[#Data],4,1)</f>
        <v>DISTRIBUIÇÃO</v>
      </c>
    </row>
    <row r="64" spans="2:10" x14ac:dyDescent="0.3">
      <c r="B64" s="8">
        <v>46113</v>
      </c>
      <c r="C64">
        <v>214918</v>
      </c>
      <c r="D64" t="s">
        <v>11</v>
      </c>
      <c r="E64" t="s">
        <v>77</v>
      </c>
      <c r="F64" t="s">
        <v>13</v>
      </c>
      <c r="G64" s="10" t="s">
        <v>13</v>
      </c>
      <c r="I64" s="9">
        <v>0.35416666666666669</v>
      </c>
      <c r="J64" t="str">
        <f>VLOOKUP(E64,[1]!assessment[#Data],4,1)</f>
        <v>DISTRIBUIÇÃO</v>
      </c>
    </row>
    <row r="65" spans="2:10" x14ac:dyDescent="0.3">
      <c r="B65" s="8">
        <v>46113</v>
      </c>
      <c r="C65">
        <v>214918</v>
      </c>
      <c r="D65" t="s">
        <v>11</v>
      </c>
      <c r="E65" t="s">
        <v>78</v>
      </c>
      <c r="F65" s="10" t="s">
        <v>16</v>
      </c>
      <c r="G65" s="10" t="s">
        <v>16</v>
      </c>
      <c r="H65" s="10" t="s">
        <v>17</v>
      </c>
      <c r="I65" s="9">
        <v>0.35416666666666669</v>
      </c>
      <c r="J65" t="str">
        <f>VLOOKUP(E65,[1]!assessment[#Data],4,1)</f>
        <v>DISTRIBUIÇÃO</v>
      </c>
    </row>
    <row r="66" spans="2:10" x14ac:dyDescent="0.3">
      <c r="B66" s="8">
        <v>46113</v>
      </c>
      <c r="C66">
        <v>214918</v>
      </c>
      <c r="D66" t="s">
        <v>11</v>
      </c>
      <c r="E66" t="s">
        <v>79</v>
      </c>
      <c r="F66" t="s">
        <v>16</v>
      </c>
      <c r="G66" s="10" t="s">
        <v>16</v>
      </c>
      <c r="H66" t="s">
        <v>17</v>
      </c>
      <c r="I66" s="9">
        <v>0.35416666666666669</v>
      </c>
      <c r="J66" t="str">
        <f>VLOOKUP(E66,[1]!assessment[#Data],4,1)</f>
        <v>FROTA</v>
      </c>
    </row>
    <row r="67" spans="2:10" x14ac:dyDescent="0.3">
      <c r="B67" s="8">
        <v>46113</v>
      </c>
      <c r="C67">
        <v>214918</v>
      </c>
      <c r="D67" t="s">
        <v>11</v>
      </c>
      <c r="E67" t="s">
        <v>80</v>
      </c>
      <c r="F67" t="s">
        <v>13</v>
      </c>
      <c r="G67" s="10" t="s">
        <v>13</v>
      </c>
      <c r="I67" s="9">
        <v>0.35416666666666669</v>
      </c>
      <c r="J67" t="str">
        <f>VLOOKUP(E67,[1]!assessment[#Data],4,1)</f>
        <v>FROTA</v>
      </c>
    </row>
    <row r="68" spans="2:10" x14ac:dyDescent="0.3">
      <c r="B68" s="8">
        <v>46113</v>
      </c>
      <c r="C68">
        <v>214918</v>
      </c>
      <c r="D68" t="s">
        <v>11</v>
      </c>
      <c r="E68" t="s">
        <v>81</v>
      </c>
      <c r="F68" t="s">
        <v>13</v>
      </c>
      <c r="G68" s="10" t="s">
        <v>13</v>
      </c>
      <c r="I68" s="9">
        <v>0.35416666666666669</v>
      </c>
      <c r="J68" t="str">
        <f>VLOOKUP(E68,[1]!assessment[#Data],4,1)</f>
        <v>FROTA</v>
      </c>
    </row>
    <row r="69" spans="2:10" x14ac:dyDescent="0.3">
      <c r="B69" s="8">
        <v>46113</v>
      </c>
      <c r="C69">
        <v>214918</v>
      </c>
      <c r="D69" t="s">
        <v>11</v>
      </c>
      <c r="E69" t="s">
        <v>82</v>
      </c>
      <c r="F69" t="s">
        <v>13</v>
      </c>
      <c r="G69" s="10" t="s">
        <v>13</v>
      </c>
      <c r="I69" s="9">
        <v>0.35416666666666669</v>
      </c>
      <c r="J69" t="str">
        <f>VLOOKUP(E69,[1]!assessment[#Data],4,1)</f>
        <v>FROTA</v>
      </c>
    </row>
    <row r="70" spans="2:10" x14ac:dyDescent="0.3">
      <c r="B70" s="8">
        <v>46113</v>
      </c>
      <c r="C70">
        <v>214918</v>
      </c>
      <c r="D70" t="s">
        <v>11</v>
      </c>
      <c r="E70" t="s">
        <v>83</v>
      </c>
      <c r="F70" t="s">
        <v>16</v>
      </c>
      <c r="G70" s="10" t="s">
        <v>16</v>
      </c>
      <c r="H70" t="s">
        <v>17</v>
      </c>
      <c r="I70" s="9">
        <v>0.35416666666666669</v>
      </c>
      <c r="J70" t="str">
        <f>VLOOKUP(E70,[1]!assessment[#Data],4,1)</f>
        <v>FROTA</v>
      </c>
    </row>
    <row r="71" spans="2:10" x14ac:dyDescent="0.3">
      <c r="B71" s="8">
        <v>46113</v>
      </c>
      <c r="C71">
        <v>214918</v>
      </c>
      <c r="D71" t="s">
        <v>11</v>
      </c>
      <c r="E71" t="s">
        <v>84</v>
      </c>
      <c r="F71" s="10" t="s">
        <v>16</v>
      </c>
      <c r="G71" s="10" t="s">
        <v>16</v>
      </c>
      <c r="H71" s="10" t="s">
        <v>17</v>
      </c>
      <c r="I71" s="9">
        <v>0.35416666666666669</v>
      </c>
      <c r="J71" t="str">
        <f>VLOOKUP(E71,[1]!assessment[#Data],4,1)</f>
        <v>RH</v>
      </c>
    </row>
    <row r="72" spans="2:10" x14ac:dyDescent="0.3">
      <c r="B72" s="8">
        <v>46113</v>
      </c>
      <c r="C72">
        <v>214918</v>
      </c>
      <c r="D72" t="s">
        <v>11</v>
      </c>
      <c r="E72" t="s">
        <v>85</v>
      </c>
      <c r="F72" s="10" t="s">
        <v>16</v>
      </c>
      <c r="G72" s="10" t="s">
        <v>16</v>
      </c>
      <c r="H72" s="10" t="s">
        <v>17</v>
      </c>
      <c r="I72" s="9">
        <v>0.35416666666666669</v>
      </c>
      <c r="J72" t="str">
        <f>VLOOKUP(E72,[1]!assessment[#Data],4,1)</f>
        <v>RH</v>
      </c>
    </row>
    <row r="73" spans="2:10" x14ac:dyDescent="0.3">
      <c r="B73" s="8">
        <v>46113</v>
      </c>
      <c r="C73">
        <v>214918</v>
      </c>
      <c r="D73" t="s">
        <v>11</v>
      </c>
      <c r="E73" t="s">
        <v>86</v>
      </c>
      <c r="F73" s="10" t="s">
        <v>16</v>
      </c>
      <c r="G73" s="10" t="s">
        <v>16</v>
      </c>
      <c r="H73" s="10" t="s">
        <v>17</v>
      </c>
      <c r="I73" s="9">
        <v>0.35416666666666669</v>
      </c>
      <c r="J73" t="str">
        <f>VLOOKUP(E73,[1]!assessment[#Data],4,1)</f>
        <v>RH</v>
      </c>
    </row>
    <row r="74" spans="2:10" x14ac:dyDescent="0.3">
      <c r="B74" s="8">
        <v>46113</v>
      </c>
      <c r="C74">
        <v>214918</v>
      </c>
      <c r="D74" t="s">
        <v>11</v>
      </c>
      <c r="E74" t="s">
        <v>87</v>
      </c>
      <c r="F74" t="s">
        <v>13</v>
      </c>
      <c r="G74" s="10" t="s">
        <v>13</v>
      </c>
      <c r="I74" s="9">
        <v>0.35416666666666669</v>
      </c>
      <c r="J74" t="str">
        <f>VLOOKUP(E74,[1]!assessment[#Data],4,1)</f>
        <v>RH</v>
      </c>
    </row>
    <row r="75" spans="2:10" x14ac:dyDescent="0.3">
      <c r="B75" s="8">
        <v>46113</v>
      </c>
      <c r="C75">
        <v>214918</v>
      </c>
      <c r="D75" t="s">
        <v>11</v>
      </c>
      <c r="E75" t="s">
        <v>88</v>
      </c>
      <c r="F75" s="10" t="s">
        <v>16</v>
      </c>
      <c r="G75" s="10" t="s">
        <v>16</v>
      </c>
      <c r="H75" s="10" t="s">
        <v>17</v>
      </c>
      <c r="I75" s="9">
        <v>0.35416666666666669</v>
      </c>
      <c r="J75" t="str">
        <f>VLOOKUP(E75,[1]!assessment[#Data],4,1)</f>
        <v>RH</v>
      </c>
    </row>
    <row r="76" spans="2:10" x14ac:dyDescent="0.3">
      <c r="B76" s="8">
        <v>46113</v>
      </c>
      <c r="C76">
        <v>214918</v>
      </c>
      <c r="D76" t="s">
        <v>11</v>
      </c>
      <c r="E76" t="s">
        <v>89</v>
      </c>
      <c r="F76" t="s">
        <v>13</v>
      </c>
      <c r="G76" s="10" t="s">
        <v>13</v>
      </c>
      <c r="I76" s="9">
        <v>0.35416666666666669</v>
      </c>
      <c r="J76" t="str">
        <f>VLOOKUP(E76,[1]!assessment[#Data],4,1)</f>
        <v>RH</v>
      </c>
    </row>
    <row r="77" spans="2:10" x14ac:dyDescent="0.3">
      <c r="B77" s="8">
        <v>46113</v>
      </c>
      <c r="C77">
        <v>214918</v>
      </c>
      <c r="D77" t="s">
        <v>11</v>
      </c>
      <c r="E77" t="s">
        <v>90</v>
      </c>
      <c r="F77" t="s">
        <v>13</v>
      </c>
      <c r="G77" s="10" t="s">
        <v>13</v>
      </c>
      <c r="I77" s="9">
        <v>0.35416666666666669</v>
      </c>
      <c r="J77" t="str">
        <f>VLOOKUP(E77,[1]!assessment[#Data],4,1)</f>
        <v>RH</v>
      </c>
    </row>
    <row r="78" spans="2:10" x14ac:dyDescent="0.3">
      <c r="B78" s="8">
        <v>46113</v>
      </c>
      <c r="C78">
        <v>214918</v>
      </c>
      <c r="D78" t="s">
        <v>11</v>
      </c>
      <c r="E78" t="s">
        <v>91</v>
      </c>
      <c r="F78" s="10" t="s">
        <v>16</v>
      </c>
      <c r="G78" s="10" t="s">
        <v>16</v>
      </c>
      <c r="H78" s="10" t="s">
        <v>17</v>
      </c>
      <c r="I78" s="9">
        <v>0.35416666666666669</v>
      </c>
      <c r="J78" t="str">
        <f>VLOOKUP(E78,[1]!assessment[#Data],4,1)</f>
        <v>RH</v>
      </c>
    </row>
    <row r="79" spans="2:10" x14ac:dyDescent="0.3">
      <c r="B79" s="8">
        <v>46113</v>
      </c>
      <c r="C79">
        <v>214918</v>
      </c>
      <c r="D79" t="s">
        <v>11</v>
      </c>
      <c r="E79" t="s">
        <v>92</v>
      </c>
      <c r="F79" t="s">
        <v>13</v>
      </c>
      <c r="G79" s="10" t="s">
        <v>13</v>
      </c>
      <c r="I79" s="9">
        <v>0.35416666666666669</v>
      </c>
      <c r="J79" t="str">
        <f>VLOOKUP(E79,[1]!assessment[#Data],4,1)</f>
        <v>SHE</v>
      </c>
    </row>
    <row r="80" spans="2:10" x14ac:dyDescent="0.3">
      <c r="B80" s="8">
        <v>46113</v>
      </c>
      <c r="C80">
        <v>214918</v>
      </c>
      <c r="D80" t="s">
        <v>11</v>
      </c>
      <c r="E80" t="s">
        <v>93</v>
      </c>
      <c r="F80" t="s">
        <v>13</v>
      </c>
      <c r="G80" s="10" t="s">
        <v>13</v>
      </c>
      <c r="I80" s="9">
        <v>0.35416666666666669</v>
      </c>
      <c r="J80" t="str">
        <f>VLOOKUP(E80,[1]!assessment[#Data],4,1)</f>
        <v>SHE</v>
      </c>
    </row>
    <row r="81" spans="2:10" x14ac:dyDescent="0.3">
      <c r="B81" s="8">
        <v>46113</v>
      </c>
      <c r="C81">
        <v>214918</v>
      </c>
      <c r="D81" t="s">
        <v>11</v>
      </c>
      <c r="E81" t="s">
        <v>94</v>
      </c>
      <c r="F81" t="s">
        <v>13</v>
      </c>
      <c r="G81" s="10" t="s">
        <v>13</v>
      </c>
      <c r="I81" s="9">
        <v>0.35416666666666669</v>
      </c>
      <c r="J81" t="str">
        <f>VLOOKUP(E81,[1]!assessment[#Data],4,1)</f>
        <v>SHE</v>
      </c>
    </row>
    <row r="82" spans="2:10" x14ac:dyDescent="0.3">
      <c r="B82" s="8">
        <v>46113</v>
      </c>
      <c r="C82">
        <v>214918</v>
      </c>
      <c r="D82" t="s">
        <v>11</v>
      </c>
      <c r="E82" t="s">
        <v>95</v>
      </c>
      <c r="F82" t="s">
        <v>13</v>
      </c>
      <c r="G82" s="10" t="s">
        <v>13</v>
      </c>
      <c r="I82" s="9">
        <v>0.35416666666666669</v>
      </c>
      <c r="J82" t="str">
        <f>VLOOKUP(E82,[1]!assessment[#Data],4,1)</f>
        <v>SHE</v>
      </c>
    </row>
    <row r="83" spans="2:10" x14ac:dyDescent="0.3">
      <c r="B83" s="8">
        <v>46113</v>
      </c>
      <c r="C83">
        <v>214918</v>
      </c>
      <c r="D83" t="s">
        <v>11</v>
      </c>
      <c r="E83" t="s">
        <v>96</v>
      </c>
      <c r="F83" t="s">
        <v>13</v>
      </c>
      <c r="G83" s="10" t="s">
        <v>13</v>
      </c>
      <c r="I83" s="9">
        <v>0.35416666666666669</v>
      </c>
      <c r="J83" t="str">
        <f>VLOOKUP(E83,[1]!assessment[#Data],4,1)</f>
        <v>SHE</v>
      </c>
    </row>
    <row r="84" spans="2:10" x14ac:dyDescent="0.3">
      <c r="B84" s="8">
        <v>46113</v>
      </c>
      <c r="C84">
        <v>214918</v>
      </c>
      <c r="D84" t="s">
        <v>11</v>
      </c>
      <c r="E84" t="s">
        <v>97</v>
      </c>
      <c r="F84" t="s">
        <v>13</v>
      </c>
      <c r="G84" s="10" t="s">
        <v>13</v>
      </c>
      <c r="I84" s="9">
        <v>0.35416666666666669</v>
      </c>
      <c r="J84" t="str">
        <f>VLOOKUP(E84,[1]!assessment[#Data],4,1)</f>
        <v>SHE</v>
      </c>
    </row>
    <row r="85" spans="2:10" x14ac:dyDescent="0.3">
      <c r="B85" s="8">
        <v>46113</v>
      </c>
      <c r="C85">
        <v>214918</v>
      </c>
      <c r="D85" t="s">
        <v>11</v>
      </c>
      <c r="E85" t="s">
        <v>98</v>
      </c>
      <c r="F85" s="10" t="s">
        <v>16</v>
      </c>
      <c r="G85" s="10" t="s">
        <v>16</v>
      </c>
      <c r="H85" s="10" t="s">
        <v>17</v>
      </c>
      <c r="I85" s="9">
        <v>0.35416666666666669</v>
      </c>
      <c r="J85" t="str">
        <f>VLOOKUP(E85,[1]!assessment[#Data],4,1)</f>
        <v>SHE</v>
      </c>
    </row>
    <row r="86" spans="2:10" x14ac:dyDescent="0.3">
      <c r="B86" s="8">
        <v>46113</v>
      </c>
      <c r="C86">
        <v>214918</v>
      </c>
      <c r="D86" t="s">
        <v>11</v>
      </c>
      <c r="E86" t="s">
        <v>99</v>
      </c>
      <c r="F86" t="s">
        <v>13</v>
      </c>
      <c r="G86" s="10" t="s">
        <v>13</v>
      </c>
      <c r="I86" s="9">
        <v>0.35416666666666669</v>
      </c>
      <c r="J86" t="str">
        <f>VLOOKUP(E86,[1]!assessment[#Data],4,1)</f>
        <v>SHE</v>
      </c>
    </row>
    <row r="87" spans="2:10" x14ac:dyDescent="0.3">
      <c r="B87" s="8">
        <v>46113</v>
      </c>
      <c r="C87">
        <v>214918</v>
      </c>
      <c r="D87" t="s">
        <v>11</v>
      </c>
      <c r="E87" t="s">
        <v>100</v>
      </c>
      <c r="F87" s="10" t="s">
        <v>16</v>
      </c>
      <c r="G87" s="10" t="s">
        <v>16</v>
      </c>
      <c r="H87" s="10" t="s">
        <v>17</v>
      </c>
      <c r="I87" s="9">
        <v>0.35416666666666669</v>
      </c>
      <c r="J87" t="str">
        <f>VLOOKUP(E87,[1]!assessment[#Data],4,1)</f>
        <v>SHE</v>
      </c>
    </row>
    <row r="88" spans="2:10" x14ac:dyDescent="0.3">
      <c r="B88" s="8">
        <v>46113</v>
      </c>
      <c r="C88">
        <v>214918</v>
      </c>
      <c r="D88" t="s">
        <v>11</v>
      </c>
      <c r="E88" t="s">
        <v>101</v>
      </c>
      <c r="F88" t="s">
        <v>13</v>
      </c>
      <c r="G88" s="10" t="s">
        <v>13</v>
      </c>
      <c r="I88" s="9">
        <v>0.35416666666666669</v>
      </c>
      <c r="J88" t="str">
        <f>VLOOKUP(E88,[1]!assessment[#Data],4,1)</f>
        <v>SISTEMA OPERACIONAL</v>
      </c>
    </row>
    <row r="89" spans="2:10" x14ac:dyDescent="0.3">
      <c r="B89" s="8">
        <v>46113</v>
      </c>
      <c r="C89">
        <v>214918</v>
      </c>
      <c r="D89" t="s">
        <v>11</v>
      </c>
      <c r="E89" t="s">
        <v>102</v>
      </c>
      <c r="F89" t="s">
        <v>13</v>
      </c>
      <c r="G89" s="10" t="s">
        <v>13</v>
      </c>
      <c r="I89" s="9">
        <v>0.35416666666666669</v>
      </c>
      <c r="J89" t="str">
        <f>VLOOKUP(E89,[1]!assessment[#Data],4,1)</f>
        <v>SISTEMA OPERACIONAL</v>
      </c>
    </row>
    <row r="90" spans="2:10" x14ac:dyDescent="0.3">
      <c r="B90" s="8">
        <v>46113</v>
      </c>
      <c r="C90">
        <v>214918</v>
      </c>
      <c r="D90" t="s">
        <v>11</v>
      </c>
      <c r="E90" t="s">
        <v>103</v>
      </c>
      <c r="F90" s="10" t="s">
        <v>16</v>
      </c>
      <c r="G90" s="10" t="s">
        <v>16</v>
      </c>
      <c r="H90" s="10" t="s">
        <v>17</v>
      </c>
      <c r="I90" s="9">
        <v>0.35416666666666669</v>
      </c>
      <c r="J90" t="str">
        <f>VLOOKUP(E90,[1]!assessment[#Data],4,1)</f>
        <v>TRADE</v>
      </c>
    </row>
    <row r="91" spans="2:10" x14ac:dyDescent="0.3">
      <c r="B91" s="8">
        <v>46113</v>
      </c>
      <c r="C91">
        <v>214918</v>
      </c>
      <c r="D91" t="s">
        <v>11</v>
      </c>
      <c r="E91" t="s">
        <v>104</v>
      </c>
      <c r="F91" t="s">
        <v>13</v>
      </c>
      <c r="G91" s="10" t="s">
        <v>13</v>
      </c>
      <c r="I91" s="9">
        <v>0.35416666666666669</v>
      </c>
      <c r="J91" t="str">
        <f>VLOOKUP(E91,[1]!assessment[#Data],4,1)</f>
        <v>TRADE</v>
      </c>
    </row>
    <row r="92" spans="2:10" x14ac:dyDescent="0.3">
      <c r="B92" s="8">
        <v>46113</v>
      </c>
      <c r="C92">
        <v>214918</v>
      </c>
      <c r="D92" t="s">
        <v>11</v>
      </c>
      <c r="E92" t="s">
        <v>105</v>
      </c>
      <c r="F92" s="10" t="s">
        <v>16</v>
      </c>
      <c r="G92" s="10" t="s">
        <v>16</v>
      </c>
      <c r="H92" s="10" t="s">
        <v>17</v>
      </c>
      <c r="I92" s="9">
        <v>0.35416666666666669</v>
      </c>
      <c r="J92" t="str">
        <f>VLOOKUP(E92,[1]!assessment[#Data],4,1)</f>
        <v>TRADE</v>
      </c>
    </row>
    <row r="93" spans="2:10" x14ac:dyDescent="0.3">
      <c r="B93" s="8">
        <v>46113</v>
      </c>
      <c r="C93">
        <v>214918</v>
      </c>
      <c r="D93" t="s">
        <v>11</v>
      </c>
      <c r="E93" t="s">
        <v>106</v>
      </c>
      <c r="F93" t="s">
        <v>16</v>
      </c>
      <c r="G93" s="10" t="s">
        <v>16</v>
      </c>
      <c r="H93" t="s">
        <v>17</v>
      </c>
      <c r="I93" s="9">
        <v>0.35416666666666669</v>
      </c>
      <c r="J93" t="str">
        <f>VLOOKUP(E93,[1]!assessment[#Data],4,1)</f>
        <v>TRADE</v>
      </c>
    </row>
    <row r="94" spans="2:10" x14ac:dyDescent="0.3">
      <c r="B94" s="8">
        <v>46113</v>
      </c>
      <c r="C94">
        <v>214918</v>
      </c>
      <c r="D94" t="s">
        <v>11</v>
      </c>
      <c r="E94" t="s">
        <v>107</v>
      </c>
      <c r="F94" s="10" t="s">
        <v>16</v>
      </c>
      <c r="G94" s="10" t="s">
        <v>16</v>
      </c>
      <c r="H94" s="10" t="s">
        <v>17</v>
      </c>
      <c r="I94" s="9">
        <v>0.35416666666666669</v>
      </c>
      <c r="J94" t="str">
        <f>VLOOKUP(E94,[1]!assessment[#Data],4,1)</f>
        <v>TRADE</v>
      </c>
    </row>
    <row r="95" spans="2:10" x14ac:dyDescent="0.3">
      <c r="B95" s="8">
        <v>46113</v>
      </c>
      <c r="C95">
        <v>214918</v>
      </c>
      <c r="D95" t="s">
        <v>11</v>
      </c>
      <c r="E95" t="s">
        <v>108</v>
      </c>
      <c r="F95" s="10" t="s">
        <v>16</v>
      </c>
      <c r="G95" s="10" t="s">
        <v>16</v>
      </c>
      <c r="H95" s="10" t="s">
        <v>41</v>
      </c>
      <c r="I95" s="9">
        <v>0.35416666666666669</v>
      </c>
      <c r="J95" t="str">
        <f>VLOOKUP(E95,[1]!assessment[#Data],4,1)</f>
        <v>TRADE</v>
      </c>
    </row>
    <row r="96" spans="2:10" x14ac:dyDescent="0.3">
      <c r="B96" s="8">
        <v>46113</v>
      </c>
      <c r="C96">
        <v>214918</v>
      </c>
      <c r="D96" t="s">
        <v>11</v>
      </c>
      <c r="E96" t="s">
        <v>109</v>
      </c>
      <c r="F96" s="10" t="s">
        <v>16</v>
      </c>
      <c r="G96" s="10" t="s">
        <v>16</v>
      </c>
      <c r="H96" s="10" t="s">
        <v>17</v>
      </c>
      <c r="I96" s="9">
        <v>0.35416666666666669</v>
      </c>
      <c r="J96" t="str">
        <f>VLOOKUP(E96,[1]!assessment[#Data],4,1)</f>
        <v>TRADE</v>
      </c>
    </row>
    <row r="97" spans="1:10" x14ac:dyDescent="0.3">
      <c r="A97" s="11"/>
      <c r="B97" s="8">
        <v>46113</v>
      </c>
      <c r="C97">
        <v>223695</v>
      </c>
      <c r="D97" s="10" t="s">
        <v>110</v>
      </c>
      <c r="E97" t="s">
        <v>12</v>
      </c>
      <c r="F97" t="s">
        <v>16</v>
      </c>
      <c r="G97" s="10" t="s">
        <v>16</v>
      </c>
      <c r="H97" t="s">
        <v>111</v>
      </c>
      <c r="I97" s="9">
        <v>0.33611111111111114</v>
      </c>
      <c r="J97" t="str">
        <f>VLOOKUP(E97,[1]!assessment[#Data],4,1)</f>
        <v>ADMINISTRATIVO</v>
      </c>
    </row>
    <row r="98" spans="1:10" x14ac:dyDescent="0.3">
      <c r="B98" s="8">
        <v>46113</v>
      </c>
      <c r="C98">
        <v>223695</v>
      </c>
      <c r="D98" s="10" t="s">
        <v>110</v>
      </c>
      <c r="E98" t="s">
        <v>14</v>
      </c>
      <c r="F98" t="s">
        <v>13</v>
      </c>
      <c r="G98" s="10" t="s">
        <v>13</v>
      </c>
      <c r="I98" s="9">
        <v>0.33611111111111114</v>
      </c>
      <c r="J98" t="str">
        <f>VLOOKUP(E98,[1]!assessment[#Data],4,1)</f>
        <v>ADMINISTRATIVO</v>
      </c>
    </row>
    <row r="99" spans="1:10" x14ac:dyDescent="0.3">
      <c r="B99" s="8">
        <v>46113</v>
      </c>
      <c r="C99">
        <v>223695</v>
      </c>
      <c r="D99" s="10" t="s">
        <v>110</v>
      </c>
      <c r="E99" t="s">
        <v>15</v>
      </c>
      <c r="F99" t="s">
        <v>16</v>
      </c>
      <c r="G99" s="10" t="s">
        <v>16</v>
      </c>
      <c r="H99" s="10" t="s">
        <v>111</v>
      </c>
      <c r="I99" s="9">
        <v>0.33611111111111114</v>
      </c>
      <c r="J99" t="str">
        <f>VLOOKUP(E99,[1]!assessment[#Data],4,1)</f>
        <v>ADMINISTRATIVO</v>
      </c>
    </row>
    <row r="100" spans="1:10" x14ac:dyDescent="0.3">
      <c r="B100" s="8">
        <v>46113</v>
      </c>
      <c r="C100">
        <v>223695</v>
      </c>
      <c r="D100" s="10" t="s">
        <v>110</v>
      </c>
      <c r="E100" t="s">
        <v>18</v>
      </c>
      <c r="F100" t="s">
        <v>13</v>
      </c>
      <c r="G100" s="10" t="s">
        <v>13</v>
      </c>
      <c r="I100" s="9">
        <v>0.33611111111111114</v>
      </c>
      <c r="J100" t="str">
        <f>VLOOKUP(E100,[1]!assessment[#Data],4,1)</f>
        <v>ADMINISTRATIVO</v>
      </c>
    </row>
    <row r="101" spans="1:10" x14ac:dyDescent="0.3">
      <c r="B101" s="8">
        <v>46113</v>
      </c>
      <c r="C101">
        <v>223695</v>
      </c>
      <c r="D101" s="10" t="s">
        <v>110</v>
      </c>
      <c r="E101" t="s">
        <v>19</v>
      </c>
      <c r="F101" t="s">
        <v>16</v>
      </c>
      <c r="G101" s="10" t="s">
        <v>16</v>
      </c>
      <c r="H101" s="10" t="s">
        <v>111</v>
      </c>
      <c r="I101" s="9">
        <v>0.33611111111111114</v>
      </c>
      <c r="J101" t="str">
        <f>VLOOKUP(E101,[1]!assessment[#Data],4,1)</f>
        <v>ADMINISTRATIVO</v>
      </c>
    </row>
    <row r="102" spans="1:10" x14ac:dyDescent="0.3">
      <c r="B102" s="8">
        <v>46113</v>
      </c>
      <c r="C102">
        <v>223695</v>
      </c>
      <c r="D102" s="10" t="s">
        <v>110</v>
      </c>
      <c r="E102" t="s">
        <v>20</v>
      </c>
      <c r="F102" t="s">
        <v>16</v>
      </c>
      <c r="G102" s="10" t="s">
        <v>16</v>
      </c>
      <c r="H102" t="s">
        <v>111</v>
      </c>
      <c r="I102" s="9">
        <v>0.33611111111111114</v>
      </c>
      <c r="J102" t="str">
        <f>VLOOKUP(E102,[1]!assessment[#Data],4,1)</f>
        <v>ADMINISTRATIVO</v>
      </c>
    </row>
    <row r="103" spans="1:10" x14ac:dyDescent="0.3">
      <c r="B103" s="8">
        <v>46113</v>
      </c>
      <c r="C103">
        <v>223695</v>
      </c>
      <c r="D103" s="10" t="s">
        <v>110</v>
      </c>
      <c r="E103" t="s">
        <v>21</v>
      </c>
      <c r="F103" t="s">
        <v>16</v>
      </c>
      <c r="G103" s="10" t="s">
        <v>16</v>
      </c>
      <c r="H103" t="s">
        <v>112</v>
      </c>
      <c r="I103" s="9">
        <v>0.33611111111111114</v>
      </c>
      <c r="J103" t="str">
        <f>VLOOKUP(E103,[1]!assessment[#Data],4,1)</f>
        <v>ADMINISTRATIVO</v>
      </c>
    </row>
    <row r="104" spans="1:10" x14ac:dyDescent="0.3">
      <c r="B104" s="8">
        <v>46113</v>
      </c>
      <c r="C104">
        <v>223695</v>
      </c>
      <c r="D104" s="10" t="s">
        <v>110</v>
      </c>
      <c r="E104" t="s">
        <v>23</v>
      </c>
      <c r="F104" t="s">
        <v>16</v>
      </c>
      <c r="G104" s="10" t="s">
        <v>16</v>
      </c>
      <c r="H104" t="s">
        <v>111</v>
      </c>
      <c r="I104" s="9">
        <v>0.33611111111111114</v>
      </c>
      <c r="J104" t="str">
        <f>VLOOKUP(E104,[1]!assessment[#Data],4,1)</f>
        <v>ADMINISTRATIVO</v>
      </c>
    </row>
    <row r="105" spans="1:10" x14ac:dyDescent="0.3">
      <c r="B105" s="8">
        <v>46113</v>
      </c>
      <c r="C105">
        <v>223695</v>
      </c>
      <c r="D105" s="10" t="s">
        <v>110</v>
      </c>
      <c r="E105" t="s">
        <v>24</v>
      </c>
      <c r="F105" t="s">
        <v>16</v>
      </c>
      <c r="G105" s="10" t="s">
        <v>16</v>
      </c>
      <c r="H105" t="s">
        <v>111</v>
      </c>
      <c r="I105" s="9">
        <v>0.33611111111111114</v>
      </c>
      <c r="J105" t="str">
        <f>VLOOKUP(E105,[1]!assessment[#Data],4,1)</f>
        <v>ADMINISTRATIVO</v>
      </c>
    </row>
    <row r="106" spans="1:10" x14ac:dyDescent="0.3">
      <c r="B106" s="8">
        <v>46113</v>
      </c>
      <c r="C106">
        <v>223695</v>
      </c>
      <c r="D106" s="10" t="s">
        <v>110</v>
      </c>
      <c r="E106" t="s">
        <v>25</v>
      </c>
      <c r="F106" t="s">
        <v>16</v>
      </c>
      <c r="G106" s="10" t="s">
        <v>16</v>
      </c>
      <c r="H106" t="s">
        <v>112</v>
      </c>
      <c r="I106" s="9">
        <v>0.33611111111111114</v>
      </c>
      <c r="J106" t="str">
        <f>VLOOKUP(E106,[1]!assessment[#Data],4,1)</f>
        <v>ADMINISTRATIVO</v>
      </c>
    </row>
    <row r="107" spans="1:10" x14ac:dyDescent="0.3">
      <c r="B107" s="8">
        <v>46113</v>
      </c>
      <c r="C107">
        <v>223695</v>
      </c>
      <c r="D107" s="10" t="s">
        <v>110</v>
      </c>
      <c r="E107" t="s">
        <v>26</v>
      </c>
      <c r="F107" t="s">
        <v>13</v>
      </c>
      <c r="G107" s="10" t="s">
        <v>13</v>
      </c>
      <c r="I107" s="9">
        <v>0.33611111111111114</v>
      </c>
      <c r="J107" t="str">
        <f>VLOOKUP(E107,[1]!assessment[#Data],4,1)</f>
        <v>ADMINISTRATIVO</v>
      </c>
    </row>
    <row r="108" spans="1:10" x14ac:dyDescent="0.3">
      <c r="B108" s="8">
        <v>46113</v>
      </c>
      <c r="C108">
        <v>223695</v>
      </c>
      <c r="D108" s="10" t="s">
        <v>110</v>
      </c>
      <c r="E108" t="s">
        <v>27</v>
      </c>
      <c r="F108" t="s">
        <v>16</v>
      </c>
      <c r="G108" s="10" t="s">
        <v>16</v>
      </c>
      <c r="H108" s="10" t="s">
        <v>111</v>
      </c>
      <c r="I108" s="9">
        <v>0.33611111111111114</v>
      </c>
      <c r="J108" t="str">
        <f>VLOOKUP(E108,[1]!assessment[#Data],4,1)</f>
        <v>ARMAZÉM</v>
      </c>
    </row>
    <row r="109" spans="1:10" x14ac:dyDescent="0.3">
      <c r="B109" s="8">
        <v>46113</v>
      </c>
      <c r="C109">
        <v>223695</v>
      </c>
      <c r="D109" s="10" t="s">
        <v>110</v>
      </c>
      <c r="E109" t="s">
        <v>28</v>
      </c>
      <c r="F109" t="s">
        <v>16</v>
      </c>
      <c r="G109" s="10" t="s">
        <v>16</v>
      </c>
      <c r="H109" s="10" t="s">
        <v>111</v>
      </c>
      <c r="I109" s="9">
        <v>0.33611111111111114</v>
      </c>
      <c r="J109" t="str">
        <f>VLOOKUP(E109,[1]!assessment[#Data],4,1)</f>
        <v>ARMAZÉM</v>
      </c>
    </row>
    <row r="110" spans="1:10" x14ac:dyDescent="0.3">
      <c r="B110" s="8">
        <v>46113</v>
      </c>
      <c r="C110">
        <v>223695</v>
      </c>
      <c r="D110" s="10" t="s">
        <v>110</v>
      </c>
      <c r="E110" t="s">
        <v>29</v>
      </c>
      <c r="F110" t="s">
        <v>16</v>
      </c>
      <c r="G110" s="10" t="s">
        <v>16</v>
      </c>
      <c r="H110" s="10" t="s">
        <v>111</v>
      </c>
      <c r="I110" s="9">
        <v>0.33611111111111114</v>
      </c>
      <c r="J110" t="str">
        <f>VLOOKUP(E110,[1]!assessment[#Data],4,1)</f>
        <v>ARMAZÉM</v>
      </c>
    </row>
    <row r="111" spans="1:10" x14ac:dyDescent="0.3">
      <c r="B111" s="8">
        <v>46113</v>
      </c>
      <c r="C111">
        <v>223695</v>
      </c>
      <c r="D111" s="10" t="s">
        <v>110</v>
      </c>
      <c r="E111" t="s">
        <v>30</v>
      </c>
      <c r="F111" t="s">
        <v>16</v>
      </c>
      <c r="G111" s="10" t="s">
        <v>16</v>
      </c>
      <c r="H111" s="10" t="s">
        <v>111</v>
      </c>
      <c r="I111" s="9">
        <v>0.33611111111111114</v>
      </c>
      <c r="J111" t="str">
        <f>VLOOKUP(E111,[1]!assessment[#Data],4,1)</f>
        <v>ARMAZÉM</v>
      </c>
    </row>
    <row r="112" spans="1:10" x14ac:dyDescent="0.3">
      <c r="B112" s="8">
        <v>46113</v>
      </c>
      <c r="C112">
        <v>223695</v>
      </c>
      <c r="D112" s="10" t="s">
        <v>110</v>
      </c>
      <c r="E112" t="s">
        <v>31</v>
      </c>
      <c r="F112" t="s">
        <v>16</v>
      </c>
      <c r="G112" s="10" t="s">
        <v>16</v>
      </c>
      <c r="H112" s="10" t="s">
        <v>111</v>
      </c>
      <c r="I112" s="9">
        <v>0.33611111111111114</v>
      </c>
      <c r="J112" t="str">
        <f>VLOOKUP(E112,[1]!assessment[#Data],4,1)</f>
        <v>ARMAZÉM</v>
      </c>
    </row>
    <row r="113" spans="2:10" x14ac:dyDescent="0.3">
      <c r="B113" s="8">
        <v>46113</v>
      </c>
      <c r="C113">
        <v>223695</v>
      </c>
      <c r="D113" s="10" t="s">
        <v>110</v>
      </c>
      <c r="E113" t="s">
        <v>32</v>
      </c>
      <c r="F113" t="s">
        <v>16</v>
      </c>
      <c r="G113" s="10" t="s">
        <v>16</v>
      </c>
      <c r="H113" s="10" t="s">
        <v>111</v>
      </c>
      <c r="I113" s="9">
        <v>0.33611111111111114</v>
      </c>
      <c r="J113" t="str">
        <f>VLOOKUP(E113,[1]!assessment[#Data],4,1)</f>
        <v>ARMAZÉM</v>
      </c>
    </row>
    <row r="114" spans="2:10" x14ac:dyDescent="0.3">
      <c r="B114" s="8">
        <v>46113</v>
      </c>
      <c r="C114">
        <v>223695</v>
      </c>
      <c r="D114" s="10" t="s">
        <v>110</v>
      </c>
      <c r="E114" t="s">
        <v>33</v>
      </c>
      <c r="F114" t="s">
        <v>16</v>
      </c>
      <c r="G114" s="10" t="s">
        <v>16</v>
      </c>
      <c r="H114" s="10" t="s">
        <v>111</v>
      </c>
      <c r="I114" s="9">
        <v>0.33611111111111114</v>
      </c>
      <c r="J114" t="str">
        <f>VLOOKUP(E114,[1]!assessment[#Data],4,1)</f>
        <v>ARMAZÉM</v>
      </c>
    </row>
    <row r="115" spans="2:10" x14ac:dyDescent="0.3">
      <c r="B115" s="8">
        <v>46113</v>
      </c>
      <c r="C115">
        <v>223695</v>
      </c>
      <c r="D115" s="10" t="s">
        <v>110</v>
      </c>
      <c r="E115" t="s">
        <v>34</v>
      </c>
      <c r="F115" t="s">
        <v>16</v>
      </c>
      <c r="G115" s="10" t="s">
        <v>16</v>
      </c>
      <c r="H115" s="10" t="s">
        <v>111</v>
      </c>
      <c r="I115" s="9">
        <v>0.33611111111111114</v>
      </c>
      <c r="J115" t="str">
        <f>VLOOKUP(E115,[1]!assessment[#Data],4,1)</f>
        <v>ARMAZÉM</v>
      </c>
    </row>
    <row r="116" spans="2:10" x14ac:dyDescent="0.3">
      <c r="B116" s="8">
        <v>46113</v>
      </c>
      <c r="C116">
        <v>223695</v>
      </c>
      <c r="D116" s="10" t="s">
        <v>110</v>
      </c>
      <c r="E116" t="s">
        <v>35</v>
      </c>
      <c r="F116" t="s">
        <v>16</v>
      </c>
      <c r="G116" s="10" t="s">
        <v>16</v>
      </c>
      <c r="H116" t="s">
        <v>111</v>
      </c>
      <c r="I116" s="9">
        <v>0.33611111111111114</v>
      </c>
      <c r="J116" t="str">
        <f>VLOOKUP(E116,[1]!assessment[#Data],4,1)</f>
        <v>ARMAZÉM</v>
      </c>
    </row>
    <row r="117" spans="2:10" x14ac:dyDescent="0.3">
      <c r="B117" s="8">
        <v>46113</v>
      </c>
      <c r="C117">
        <v>223695</v>
      </c>
      <c r="D117" s="10" t="s">
        <v>110</v>
      </c>
      <c r="E117" t="s">
        <v>36</v>
      </c>
      <c r="F117" t="s">
        <v>16</v>
      </c>
      <c r="G117" s="10" t="s">
        <v>16</v>
      </c>
      <c r="H117" s="10" t="s">
        <v>111</v>
      </c>
      <c r="I117" s="9">
        <v>0.33611111111111114</v>
      </c>
      <c r="J117" t="str">
        <f>VLOOKUP(E117,[1]!assessment[#Data],4,1)</f>
        <v>ARMAZÉM</v>
      </c>
    </row>
    <row r="118" spans="2:10" x14ac:dyDescent="0.3">
      <c r="B118" s="8">
        <v>46113</v>
      </c>
      <c r="C118">
        <v>223695</v>
      </c>
      <c r="D118" s="10" t="s">
        <v>110</v>
      </c>
      <c r="E118" t="s">
        <v>37</v>
      </c>
      <c r="F118" t="s">
        <v>13</v>
      </c>
      <c r="G118" s="10" t="s">
        <v>13</v>
      </c>
      <c r="I118" s="9">
        <v>0.33611111111111114</v>
      </c>
      <c r="J118" t="str">
        <f>VLOOKUP(E118,[1]!assessment[#Data],4,1)</f>
        <v>COMODATO</v>
      </c>
    </row>
    <row r="119" spans="2:10" x14ac:dyDescent="0.3">
      <c r="B119" s="8">
        <v>46113</v>
      </c>
      <c r="C119">
        <v>223695</v>
      </c>
      <c r="D119" s="10" t="s">
        <v>110</v>
      </c>
      <c r="E119" t="s">
        <v>38</v>
      </c>
      <c r="F119" t="s">
        <v>13</v>
      </c>
      <c r="G119" s="10" t="s">
        <v>13</v>
      </c>
      <c r="I119" s="9">
        <v>0.33611111111111114</v>
      </c>
      <c r="J119" t="str">
        <f>VLOOKUP(E119,[1]!assessment[#Data],4,1)</f>
        <v>COMODATO</v>
      </c>
    </row>
    <row r="120" spans="2:10" x14ac:dyDescent="0.3">
      <c r="B120" s="8">
        <v>46113</v>
      </c>
      <c r="C120">
        <v>223695</v>
      </c>
      <c r="D120" s="10" t="s">
        <v>110</v>
      </c>
      <c r="E120" t="s">
        <v>39</v>
      </c>
      <c r="F120" t="s">
        <v>13</v>
      </c>
      <c r="G120" s="10" t="s">
        <v>13</v>
      </c>
      <c r="I120" s="9">
        <v>0.33611111111111114</v>
      </c>
      <c r="J120" t="str">
        <f>VLOOKUP(E120,[1]!assessment[#Data],4,1)</f>
        <v>COMODATO</v>
      </c>
    </row>
    <row r="121" spans="2:10" x14ac:dyDescent="0.3">
      <c r="B121" s="8">
        <v>46113</v>
      </c>
      <c r="C121">
        <v>223695</v>
      </c>
      <c r="D121" s="10" t="s">
        <v>110</v>
      </c>
      <c r="E121" t="s">
        <v>40</v>
      </c>
      <c r="F121" t="s">
        <v>13</v>
      </c>
      <c r="G121" s="10" t="s">
        <v>13</v>
      </c>
      <c r="I121" s="9">
        <v>0.33611111111111114</v>
      </c>
      <c r="J121" t="str">
        <f>VLOOKUP(E121,[1]!assessment[#Data],4,1)</f>
        <v>COMERCIAL</v>
      </c>
    </row>
    <row r="122" spans="2:10" x14ac:dyDescent="0.3">
      <c r="B122" s="8">
        <v>46113</v>
      </c>
      <c r="C122">
        <v>223695</v>
      </c>
      <c r="D122" s="10" t="s">
        <v>110</v>
      </c>
      <c r="E122" t="s">
        <v>42</v>
      </c>
      <c r="F122" t="s">
        <v>13</v>
      </c>
      <c r="G122" s="10" t="s">
        <v>13</v>
      </c>
      <c r="I122" s="9">
        <v>0.33611111111111114</v>
      </c>
      <c r="J122" t="str">
        <f>VLOOKUP(E122,[1]!assessment[#Data],4,1)</f>
        <v>COMERCIAL</v>
      </c>
    </row>
    <row r="123" spans="2:10" x14ac:dyDescent="0.3">
      <c r="B123" s="8">
        <v>46113</v>
      </c>
      <c r="C123">
        <v>223695</v>
      </c>
      <c r="D123" s="10" t="s">
        <v>110</v>
      </c>
      <c r="E123" t="s">
        <v>43</v>
      </c>
      <c r="F123" t="s">
        <v>13</v>
      </c>
      <c r="G123" s="10" t="s">
        <v>13</v>
      </c>
      <c r="I123" s="9">
        <v>0.33611111111111114</v>
      </c>
      <c r="J123" t="str">
        <f>VLOOKUP(E123,[1]!assessment[#Data],4,1)</f>
        <v>COMERCIAL</v>
      </c>
    </row>
    <row r="124" spans="2:10" x14ac:dyDescent="0.3">
      <c r="B124" s="8">
        <v>46113</v>
      </c>
      <c r="C124">
        <v>223695</v>
      </c>
      <c r="D124" s="10" t="s">
        <v>110</v>
      </c>
      <c r="E124" t="s">
        <v>45</v>
      </c>
      <c r="F124" t="s">
        <v>13</v>
      </c>
      <c r="G124" s="10" t="s">
        <v>13</v>
      </c>
      <c r="I124" s="9">
        <v>0.33611111111111114</v>
      </c>
      <c r="J124" t="str">
        <f>VLOOKUP(E124,[1]!assessment[#Data],4,1)</f>
        <v>COMERCIAL</v>
      </c>
    </row>
    <row r="125" spans="2:10" x14ac:dyDescent="0.3">
      <c r="B125" s="8">
        <v>46113</v>
      </c>
      <c r="C125">
        <v>223695</v>
      </c>
      <c r="D125" s="10" t="s">
        <v>110</v>
      </c>
      <c r="E125" t="s">
        <v>46</v>
      </c>
      <c r="F125" t="s">
        <v>13</v>
      </c>
      <c r="G125" s="10" t="s">
        <v>13</v>
      </c>
      <c r="I125" s="9">
        <v>0.33611111111111114</v>
      </c>
      <c r="J125" t="str">
        <f>VLOOKUP(E125,[1]!assessment[#Data],4,1)</f>
        <v>COMERCIAL</v>
      </c>
    </row>
    <row r="126" spans="2:10" x14ac:dyDescent="0.3">
      <c r="B126" s="8">
        <v>46113</v>
      </c>
      <c r="C126">
        <v>223695</v>
      </c>
      <c r="D126" s="10" t="s">
        <v>110</v>
      </c>
      <c r="E126" t="s">
        <v>47</v>
      </c>
      <c r="F126" t="s">
        <v>13</v>
      </c>
      <c r="G126" s="10" t="s">
        <v>13</v>
      </c>
      <c r="I126" s="9">
        <v>0.33611111111111114</v>
      </c>
      <c r="J126" t="str">
        <f>VLOOKUP(E126,[1]!assessment[#Data],4,1)</f>
        <v>COMERCIAL</v>
      </c>
    </row>
    <row r="127" spans="2:10" x14ac:dyDescent="0.3">
      <c r="B127" s="8">
        <v>46113</v>
      </c>
      <c r="C127">
        <v>223695</v>
      </c>
      <c r="D127" s="10" t="s">
        <v>110</v>
      </c>
      <c r="E127" t="s">
        <v>48</v>
      </c>
      <c r="F127" t="s">
        <v>13</v>
      </c>
      <c r="G127" s="10" t="s">
        <v>13</v>
      </c>
      <c r="I127" s="9">
        <v>0.33611111111111114</v>
      </c>
      <c r="J127" t="str">
        <f>VLOOKUP(E127,[1]!assessment[#Data],4,1)</f>
        <v>COMERCIAL</v>
      </c>
    </row>
    <row r="128" spans="2:10" x14ac:dyDescent="0.3">
      <c r="B128" s="8">
        <v>46113</v>
      </c>
      <c r="C128">
        <v>223695</v>
      </c>
      <c r="D128" s="10" t="s">
        <v>110</v>
      </c>
      <c r="E128" t="s">
        <v>49</v>
      </c>
      <c r="F128" t="s">
        <v>16</v>
      </c>
      <c r="G128" s="10" t="s">
        <v>16</v>
      </c>
      <c r="H128" t="s">
        <v>112</v>
      </c>
      <c r="I128" s="9">
        <v>0.33611111111111114</v>
      </c>
      <c r="J128" t="str">
        <f>VLOOKUP(E128,[1]!assessment[#Data],4,1)</f>
        <v>COMERCIAL</v>
      </c>
    </row>
    <row r="129" spans="2:10" x14ac:dyDescent="0.3">
      <c r="B129" s="8">
        <v>46113</v>
      </c>
      <c r="C129">
        <v>223695</v>
      </c>
      <c r="D129" s="10" t="s">
        <v>110</v>
      </c>
      <c r="E129" t="s">
        <v>50</v>
      </c>
      <c r="F129" t="s">
        <v>13</v>
      </c>
      <c r="G129" s="10" t="s">
        <v>13</v>
      </c>
      <c r="I129" s="9">
        <v>0.33611111111111114</v>
      </c>
      <c r="J129" t="str">
        <f>VLOOKUP(E129,[1]!assessment[#Data],4,1)</f>
        <v>COMERCIAL</v>
      </c>
    </row>
    <row r="130" spans="2:10" x14ac:dyDescent="0.3">
      <c r="B130" s="8">
        <v>46113</v>
      </c>
      <c r="C130">
        <v>223695</v>
      </c>
      <c r="D130" s="10" t="s">
        <v>110</v>
      </c>
      <c r="E130" t="s">
        <v>51</v>
      </c>
      <c r="F130" t="s">
        <v>16</v>
      </c>
      <c r="G130" s="10" t="s">
        <v>16</v>
      </c>
      <c r="H130" t="s">
        <v>112</v>
      </c>
      <c r="I130" s="9">
        <v>0.33611111111111114</v>
      </c>
      <c r="J130" t="str">
        <f>VLOOKUP(E130,[1]!assessment[#Data],4,1)</f>
        <v>COMERCIAL</v>
      </c>
    </row>
    <row r="131" spans="2:10" x14ac:dyDescent="0.3">
      <c r="B131" s="8">
        <v>46113</v>
      </c>
      <c r="C131">
        <v>223695</v>
      </c>
      <c r="D131" s="10" t="s">
        <v>110</v>
      </c>
      <c r="E131" t="s">
        <v>52</v>
      </c>
      <c r="F131" t="s">
        <v>13</v>
      </c>
      <c r="G131" s="10" t="s">
        <v>13</v>
      </c>
      <c r="I131" s="9">
        <v>0.33611111111111114</v>
      </c>
      <c r="J131" t="str">
        <f>VLOOKUP(E131,[1]!assessment[#Data],4,1)</f>
        <v>COMERCIAL</v>
      </c>
    </row>
    <row r="132" spans="2:10" x14ac:dyDescent="0.3">
      <c r="B132" s="8">
        <v>46113</v>
      </c>
      <c r="C132">
        <v>223695</v>
      </c>
      <c r="D132" s="10" t="s">
        <v>110</v>
      </c>
      <c r="E132" t="s">
        <v>53</v>
      </c>
      <c r="F132" t="s">
        <v>13</v>
      </c>
      <c r="G132" s="10" t="s">
        <v>13</v>
      </c>
      <c r="I132" s="9">
        <v>0.33611111111111114</v>
      </c>
      <c r="J132" t="str">
        <f>VLOOKUP(E132,[1]!assessment[#Data],4,1)</f>
        <v>COMERCIAL</v>
      </c>
    </row>
    <row r="133" spans="2:10" x14ac:dyDescent="0.3">
      <c r="B133" s="8">
        <v>46113</v>
      </c>
      <c r="C133">
        <v>223695</v>
      </c>
      <c r="D133" s="10" t="s">
        <v>110</v>
      </c>
      <c r="E133" t="s">
        <v>54</v>
      </c>
      <c r="F133" t="s">
        <v>13</v>
      </c>
      <c r="G133" s="10" t="s">
        <v>13</v>
      </c>
      <c r="I133" s="9">
        <v>0.33611111111111114</v>
      </c>
      <c r="J133" t="str">
        <f>VLOOKUP(E133,[1]!assessment[#Data],4,1)</f>
        <v>COMERCIAL</v>
      </c>
    </row>
    <row r="134" spans="2:10" x14ac:dyDescent="0.3">
      <c r="B134" s="8">
        <v>46113</v>
      </c>
      <c r="C134">
        <v>223695</v>
      </c>
      <c r="D134" s="10" t="s">
        <v>110</v>
      </c>
      <c r="E134" t="s">
        <v>55</v>
      </c>
      <c r="F134" t="s">
        <v>13</v>
      </c>
      <c r="G134" s="10" t="s">
        <v>13</v>
      </c>
      <c r="I134" s="9">
        <v>0.33611111111111114</v>
      </c>
      <c r="J134" t="str">
        <f>VLOOKUP(E134,[1]!assessment[#Data],4,1)</f>
        <v>COMERCIAL</v>
      </c>
    </row>
    <row r="135" spans="2:10" x14ac:dyDescent="0.3">
      <c r="B135" s="8">
        <v>46113</v>
      </c>
      <c r="C135">
        <v>223695</v>
      </c>
      <c r="D135" s="10" t="s">
        <v>110</v>
      </c>
      <c r="E135" t="s">
        <v>56</v>
      </c>
      <c r="F135" t="s">
        <v>13</v>
      </c>
      <c r="G135" s="10" t="s">
        <v>13</v>
      </c>
      <c r="I135" s="9">
        <v>0.33611111111111114</v>
      </c>
      <c r="J135" t="str">
        <f>VLOOKUP(E135,[1]!assessment[#Data],4,1)</f>
        <v>COMERCIAL</v>
      </c>
    </row>
    <row r="136" spans="2:10" x14ac:dyDescent="0.3">
      <c r="B136" s="8">
        <v>46113</v>
      </c>
      <c r="C136">
        <v>223695</v>
      </c>
      <c r="D136" s="10" t="s">
        <v>110</v>
      </c>
      <c r="E136" t="s">
        <v>57</v>
      </c>
      <c r="F136" t="s">
        <v>13</v>
      </c>
      <c r="G136" s="10" t="s">
        <v>13</v>
      </c>
      <c r="I136" s="9">
        <v>0.33611111111111114</v>
      </c>
      <c r="J136" t="str">
        <f>VLOOKUP(E136,[1]!assessment[#Data],4,1)</f>
        <v>COMERCIAL</v>
      </c>
    </row>
    <row r="137" spans="2:10" x14ac:dyDescent="0.3">
      <c r="B137" s="8">
        <v>46113</v>
      </c>
      <c r="C137">
        <v>223695</v>
      </c>
      <c r="D137" s="10" t="s">
        <v>110</v>
      </c>
      <c r="E137" t="s">
        <v>58</v>
      </c>
      <c r="F137" t="s">
        <v>13</v>
      </c>
      <c r="G137" s="10" t="s">
        <v>13</v>
      </c>
      <c r="I137" s="9">
        <v>0.33611111111111114</v>
      </c>
      <c r="J137" t="str">
        <f>VLOOKUP(E137,[1]!assessment[#Data],4,1)</f>
        <v>COMERCIAL</v>
      </c>
    </row>
    <row r="138" spans="2:10" x14ac:dyDescent="0.3">
      <c r="B138" s="8">
        <v>46113</v>
      </c>
      <c r="C138">
        <v>223695</v>
      </c>
      <c r="D138" s="10" t="s">
        <v>110</v>
      </c>
      <c r="E138" t="s">
        <v>59</v>
      </c>
      <c r="F138" t="s">
        <v>13</v>
      </c>
      <c r="G138" s="10" t="s">
        <v>13</v>
      </c>
      <c r="I138" s="9">
        <v>0.33611111111111114</v>
      </c>
      <c r="J138" t="str">
        <f>VLOOKUP(E138,[1]!assessment[#Data],4,1)</f>
        <v>COMERCIAL</v>
      </c>
    </row>
    <row r="139" spans="2:10" x14ac:dyDescent="0.3">
      <c r="B139" s="8">
        <v>46113</v>
      </c>
      <c r="C139">
        <v>223695</v>
      </c>
      <c r="D139" s="10" t="s">
        <v>110</v>
      </c>
      <c r="E139" t="s">
        <v>60</v>
      </c>
      <c r="F139" t="s">
        <v>13</v>
      </c>
      <c r="G139" s="10" t="s">
        <v>13</v>
      </c>
      <c r="I139" s="9">
        <v>0.33611111111111114</v>
      </c>
      <c r="J139" t="str">
        <f>VLOOKUP(E139,[1]!assessment[#Data],4,1)</f>
        <v>COMERCIAL</v>
      </c>
    </row>
    <row r="140" spans="2:10" x14ac:dyDescent="0.3">
      <c r="B140" s="8">
        <v>46113</v>
      </c>
      <c r="C140">
        <v>223695</v>
      </c>
      <c r="D140" s="10" t="s">
        <v>110</v>
      </c>
      <c r="E140" t="s">
        <v>61</v>
      </c>
      <c r="F140" t="s">
        <v>13</v>
      </c>
      <c r="G140" s="10" t="s">
        <v>13</v>
      </c>
      <c r="I140" s="9">
        <v>0.33611111111111114</v>
      </c>
      <c r="J140" t="str">
        <f>VLOOKUP(E140,[1]!assessment[#Data],4,1)</f>
        <v>COMERCIAL</v>
      </c>
    </row>
    <row r="141" spans="2:10" x14ac:dyDescent="0.3">
      <c r="B141" s="8">
        <v>46113</v>
      </c>
      <c r="C141">
        <v>223695</v>
      </c>
      <c r="D141" s="10" t="s">
        <v>110</v>
      </c>
      <c r="E141" t="s">
        <v>62</v>
      </c>
      <c r="F141" t="s">
        <v>13</v>
      </c>
      <c r="G141" s="10" t="s">
        <v>13</v>
      </c>
      <c r="I141" s="9">
        <v>0.33611111111111114</v>
      </c>
      <c r="J141" t="str">
        <f>VLOOKUP(E141,[1]!assessment[#Data],4,1)</f>
        <v>COMERCIAL</v>
      </c>
    </row>
    <row r="142" spans="2:10" x14ac:dyDescent="0.3">
      <c r="B142" s="8">
        <v>46113</v>
      </c>
      <c r="C142">
        <v>223695</v>
      </c>
      <c r="D142" s="10" t="s">
        <v>110</v>
      </c>
      <c r="E142" t="s">
        <v>63</v>
      </c>
      <c r="F142" t="s">
        <v>13</v>
      </c>
      <c r="G142" s="10" t="s">
        <v>13</v>
      </c>
      <c r="I142" s="9">
        <v>0.33611111111111114</v>
      </c>
      <c r="J142" t="str">
        <f>VLOOKUP(E142,[1]!assessment[#Data],4,1)</f>
        <v>COMERCIAL</v>
      </c>
    </row>
    <row r="143" spans="2:10" x14ac:dyDescent="0.3">
      <c r="B143" s="8">
        <v>46113</v>
      </c>
      <c r="C143">
        <v>223695</v>
      </c>
      <c r="D143" s="10" t="s">
        <v>110</v>
      </c>
      <c r="E143" t="s">
        <v>64</v>
      </c>
      <c r="F143" t="s">
        <v>13</v>
      </c>
      <c r="G143" s="10" t="s">
        <v>13</v>
      </c>
      <c r="I143" s="9">
        <v>0.33611111111111114</v>
      </c>
      <c r="J143" t="str">
        <f>VLOOKUP(E143,[1]!assessment[#Data],4,1)</f>
        <v>COMERCIAL</v>
      </c>
    </row>
    <row r="144" spans="2:10" x14ac:dyDescent="0.3">
      <c r="B144" s="8">
        <v>46113</v>
      </c>
      <c r="C144">
        <v>223695</v>
      </c>
      <c r="D144" s="10" t="s">
        <v>110</v>
      </c>
      <c r="E144" t="s">
        <v>65</v>
      </c>
      <c r="F144" t="s">
        <v>13</v>
      </c>
      <c r="G144" s="10" t="s">
        <v>13</v>
      </c>
      <c r="I144" s="9">
        <v>0.33611111111111114</v>
      </c>
      <c r="J144" t="str">
        <f>VLOOKUP(E144,[1]!assessment[#Data],4,1)</f>
        <v>COMERCIAL</v>
      </c>
    </row>
    <row r="145" spans="2:10" x14ac:dyDescent="0.3">
      <c r="B145" s="8">
        <v>46113</v>
      </c>
      <c r="C145">
        <v>223695</v>
      </c>
      <c r="D145" s="10" t="s">
        <v>110</v>
      </c>
      <c r="E145" t="s">
        <v>66</v>
      </c>
      <c r="F145" t="s">
        <v>13</v>
      </c>
      <c r="G145" s="10" t="s">
        <v>13</v>
      </c>
      <c r="I145" s="9">
        <v>0.33611111111111114</v>
      </c>
      <c r="J145" t="str">
        <f>VLOOKUP(E145,[1]!assessment[#Data],4,1)</f>
        <v>COMERCIAL</v>
      </c>
    </row>
    <row r="146" spans="2:10" x14ac:dyDescent="0.3">
      <c r="B146" s="8">
        <v>46113</v>
      </c>
      <c r="C146">
        <v>223695</v>
      </c>
      <c r="D146" s="10" t="s">
        <v>110</v>
      </c>
      <c r="E146" t="s">
        <v>67</v>
      </c>
      <c r="F146" t="s">
        <v>13</v>
      </c>
      <c r="G146" s="10" t="s">
        <v>13</v>
      </c>
      <c r="I146" s="9">
        <v>0.33611111111111114</v>
      </c>
      <c r="J146" t="str">
        <f>VLOOKUP(E146,[1]!assessment[#Data],4,1)</f>
        <v>COMERCIAL</v>
      </c>
    </row>
    <row r="147" spans="2:10" x14ac:dyDescent="0.3">
      <c r="B147" s="8">
        <v>46113</v>
      </c>
      <c r="C147">
        <v>223695</v>
      </c>
      <c r="D147" s="10" t="s">
        <v>110</v>
      </c>
      <c r="E147" t="s">
        <v>68</v>
      </c>
      <c r="F147" t="s">
        <v>13</v>
      </c>
      <c r="G147" s="10" t="s">
        <v>13</v>
      </c>
      <c r="I147" s="9">
        <v>0.33611111111111114</v>
      </c>
      <c r="J147" t="str">
        <f>VLOOKUP(E147,[1]!assessment[#Data],4,1)</f>
        <v>COMERCIAL</v>
      </c>
    </row>
    <row r="148" spans="2:10" x14ac:dyDescent="0.3">
      <c r="B148" s="8">
        <v>46113</v>
      </c>
      <c r="C148">
        <v>223695</v>
      </c>
      <c r="D148" s="10" t="s">
        <v>110</v>
      </c>
      <c r="E148" t="s">
        <v>69</v>
      </c>
      <c r="F148" t="s">
        <v>13</v>
      </c>
      <c r="G148" s="10" t="s">
        <v>13</v>
      </c>
      <c r="I148" s="9">
        <v>0.33611111111111114</v>
      </c>
      <c r="J148" t="str">
        <f>VLOOKUP(E148,[1]!assessment[#Data],4,1)</f>
        <v>COMERCIAL</v>
      </c>
    </row>
    <row r="149" spans="2:10" x14ac:dyDescent="0.3">
      <c r="B149" s="8">
        <v>46113</v>
      </c>
      <c r="C149">
        <v>223695</v>
      </c>
      <c r="D149" s="10" t="s">
        <v>110</v>
      </c>
      <c r="E149" t="s">
        <v>70</v>
      </c>
      <c r="F149" t="s">
        <v>13</v>
      </c>
      <c r="G149" s="10" t="s">
        <v>13</v>
      </c>
      <c r="I149" s="9">
        <v>0.33611111111111114</v>
      </c>
      <c r="J149" t="str">
        <f>VLOOKUP(E149,[1]!assessment[#Data],4,1)</f>
        <v>COMERCIAL</v>
      </c>
    </row>
    <row r="150" spans="2:10" x14ac:dyDescent="0.3">
      <c r="B150" s="8">
        <v>46113</v>
      </c>
      <c r="C150">
        <v>223695</v>
      </c>
      <c r="D150" s="10" t="s">
        <v>110</v>
      </c>
      <c r="E150" t="s">
        <v>71</v>
      </c>
      <c r="F150" t="s">
        <v>13</v>
      </c>
      <c r="G150" s="10" t="s">
        <v>13</v>
      </c>
      <c r="I150" s="9">
        <v>0.33611111111111114</v>
      </c>
      <c r="J150" t="str">
        <f>VLOOKUP(E150,[1]!assessment[#Data],4,1)</f>
        <v>COMERCIAL</v>
      </c>
    </row>
    <row r="151" spans="2:10" x14ac:dyDescent="0.3">
      <c r="B151" s="8">
        <v>46113</v>
      </c>
      <c r="C151">
        <v>223695</v>
      </c>
      <c r="D151" s="10" t="s">
        <v>110</v>
      </c>
      <c r="E151" t="s">
        <v>72</v>
      </c>
      <c r="F151" t="s">
        <v>13</v>
      </c>
      <c r="G151" s="10" t="s">
        <v>13</v>
      </c>
      <c r="I151" s="9">
        <v>0.33611111111111114</v>
      </c>
      <c r="J151" t="str">
        <f>VLOOKUP(E151,[1]!assessment[#Data],4,1)</f>
        <v>COMERCIAL</v>
      </c>
    </row>
    <row r="152" spans="2:10" x14ac:dyDescent="0.3">
      <c r="B152" s="8">
        <v>46113</v>
      </c>
      <c r="C152">
        <v>223695</v>
      </c>
      <c r="D152" s="10" t="s">
        <v>110</v>
      </c>
      <c r="E152" t="s">
        <v>73</v>
      </c>
      <c r="F152" t="s">
        <v>16</v>
      </c>
      <c r="G152" s="10" t="s">
        <v>16</v>
      </c>
      <c r="H152" s="10" t="s">
        <v>111</v>
      </c>
      <c r="I152" s="9">
        <v>0.33611111111111114</v>
      </c>
      <c r="J152" t="str">
        <f>VLOOKUP(E152,[1]!assessment[#Data],4,1)</f>
        <v>DISTRIBUIÇÃO</v>
      </c>
    </row>
    <row r="153" spans="2:10" x14ac:dyDescent="0.3">
      <c r="B153" s="8">
        <v>46113</v>
      </c>
      <c r="C153">
        <v>223695</v>
      </c>
      <c r="D153" s="10" t="s">
        <v>110</v>
      </c>
      <c r="E153" t="s">
        <v>74</v>
      </c>
      <c r="F153" t="s">
        <v>16</v>
      </c>
      <c r="G153" s="10" t="s">
        <v>16</v>
      </c>
      <c r="H153" t="s">
        <v>111</v>
      </c>
      <c r="I153" s="9">
        <v>0.33611111111111114</v>
      </c>
      <c r="J153" t="str">
        <f>VLOOKUP(E153,[1]!assessment[#Data],4,1)</f>
        <v>DISTRIBUIÇÃO</v>
      </c>
    </row>
    <row r="154" spans="2:10" x14ac:dyDescent="0.3">
      <c r="B154" s="8">
        <v>46113</v>
      </c>
      <c r="C154">
        <v>223695</v>
      </c>
      <c r="D154" s="10" t="s">
        <v>110</v>
      </c>
      <c r="E154" t="s">
        <v>75</v>
      </c>
      <c r="F154" t="s">
        <v>16</v>
      </c>
      <c r="G154" s="10" t="s">
        <v>16</v>
      </c>
      <c r="H154" t="s">
        <v>111</v>
      </c>
      <c r="I154" s="9">
        <v>0.33611111111111114</v>
      </c>
      <c r="J154" t="str">
        <f>VLOOKUP(E154,[1]!assessment[#Data],4,1)</f>
        <v>DISTRIBUIÇÃO</v>
      </c>
    </row>
    <row r="155" spans="2:10" x14ac:dyDescent="0.3">
      <c r="B155" s="8">
        <v>46113</v>
      </c>
      <c r="C155">
        <v>223695</v>
      </c>
      <c r="D155" s="10" t="s">
        <v>110</v>
      </c>
      <c r="E155" t="s">
        <v>76</v>
      </c>
      <c r="F155" t="s">
        <v>16</v>
      </c>
      <c r="G155" s="10" t="s">
        <v>16</v>
      </c>
      <c r="H155" s="10" t="s">
        <v>111</v>
      </c>
      <c r="I155" s="9">
        <v>0.33611111111111114</v>
      </c>
      <c r="J155" t="str">
        <f>VLOOKUP(E155,[1]!assessment[#Data],4,1)</f>
        <v>DISTRIBUIÇÃO</v>
      </c>
    </row>
    <row r="156" spans="2:10" x14ac:dyDescent="0.3">
      <c r="B156" s="8">
        <v>46113</v>
      </c>
      <c r="C156">
        <v>223695</v>
      </c>
      <c r="D156" s="10" t="s">
        <v>110</v>
      </c>
      <c r="E156" t="s">
        <v>77</v>
      </c>
      <c r="F156" t="s">
        <v>16</v>
      </c>
      <c r="G156" s="10" t="s">
        <v>16</v>
      </c>
      <c r="H156" s="10" t="s">
        <v>111</v>
      </c>
      <c r="I156" s="9">
        <v>0.33611111111111114</v>
      </c>
      <c r="J156" t="str">
        <f>VLOOKUP(E156,[1]!assessment[#Data],4,1)</f>
        <v>DISTRIBUIÇÃO</v>
      </c>
    </row>
    <row r="157" spans="2:10" x14ac:dyDescent="0.3">
      <c r="B157" s="8">
        <v>46113</v>
      </c>
      <c r="C157">
        <v>223695</v>
      </c>
      <c r="D157" s="10" t="s">
        <v>110</v>
      </c>
      <c r="E157" t="s">
        <v>78</v>
      </c>
      <c r="F157" t="s">
        <v>16</v>
      </c>
      <c r="G157" s="10" t="s">
        <v>16</v>
      </c>
      <c r="H157" t="s">
        <v>111</v>
      </c>
      <c r="I157" s="9">
        <v>0.33611111111111114</v>
      </c>
      <c r="J157" t="str">
        <f>VLOOKUP(E157,[1]!assessment[#Data],4,1)</f>
        <v>DISTRIBUIÇÃO</v>
      </c>
    </row>
    <row r="158" spans="2:10" x14ac:dyDescent="0.3">
      <c r="B158" s="8">
        <v>46113</v>
      </c>
      <c r="C158">
        <v>223695</v>
      </c>
      <c r="D158" s="10" t="s">
        <v>110</v>
      </c>
      <c r="E158" t="s">
        <v>79</v>
      </c>
      <c r="F158" t="s">
        <v>16</v>
      </c>
      <c r="G158" s="10" t="s">
        <v>16</v>
      </c>
      <c r="H158" s="10" t="s">
        <v>111</v>
      </c>
      <c r="I158" s="9">
        <v>0.33611111111111114</v>
      </c>
      <c r="J158" t="str">
        <f>VLOOKUP(E158,[1]!assessment[#Data],4,1)</f>
        <v>FROTA</v>
      </c>
    </row>
    <row r="159" spans="2:10" x14ac:dyDescent="0.3">
      <c r="B159" s="8">
        <v>46113</v>
      </c>
      <c r="C159">
        <v>223695</v>
      </c>
      <c r="D159" s="10" t="s">
        <v>110</v>
      </c>
      <c r="E159" t="s">
        <v>80</v>
      </c>
      <c r="F159" t="s">
        <v>16</v>
      </c>
      <c r="G159" s="10" t="s">
        <v>16</v>
      </c>
      <c r="H159" s="10" t="s">
        <v>111</v>
      </c>
      <c r="I159" s="9">
        <v>0.33611111111111114</v>
      </c>
      <c r="J159" t="str">
        <f>VLOOKUP(E159,[1]!assessment[#Data],4,1)</f>
        <v>FROTA</v>
      </c>
    </row>
    <row r="160" spans="2:10" x14ac:dyDescent="0.3">
      <c r="B160" s="8">
        <v>46113</v>
      </c>
      <c r="C160">
        <v>223695</v>
      </c>
      <c r="D160" s="10" t="s">
        <v>110</v>
      </c>
      <c r="E160" t="s">
        <v>81</v>
      </c>
      <c r="F160" t="s">
        <v>16</v>
      </c>
      <c r="G160" s="10" t="s">
        <v>16</v>
      </c>
      <c r="H160" s="10" t="s">
        <v>111</v>
      </c>
      <c r="I160" s="9">
        <v>0.33611111111111114</v>
      </c>
      <c r="J160" t="str">
        <f>VLOOKUP(E160,[1]!assessment[#Data],4,1)</f>
        <v>FROTA</v>
      </c>
    </row>
    <row r="161" spans="2:10" x14ac:dyDescent="0.3">
      <c r="B161" s="8">
        <v>46113</v>
      </c>
      <c r="C161">
        <v>223695</v>
      </c>
      <c r="D161" s="10" t="s">
        <v>110</v>
      </c>
      <c r="E161" t="s">
        <v>82</v>
      </c>
      <c r="F161" t="s">
        <v>16</v>
      </c>
      <c r="G161" s="10" t="s">
        <v>16</v>
      </c>
      <c r="H161" s="10" t="s">
        <v>111</v>
      </c>
      <c r="I161" s="9">
        <v>0.33611111111111114</v>
      </c>
      <c r="J161" t="str">
        <f>VLOOKUP(E161,[1]!assessment[#Data],4,1)</f>
        <v>FROTA</v>
      </c>
    </row>
    <row r="162" spans="2:10" x14ac:dyDescent="0.3">
      <c r="B162" s="8">
        <v>46113</v>
      </c>
      <c r="C162">
        <v>223695</v>
      </c>
      <c r="D162" s="10" t="s">
        <v>110</v>
      </c>
      <c r="E162" t="s">
        <v>83</v>
      </c>
      <c r="F162" t="s">
        <v>16</v>
      </c>
      <c r="G162" s="10" t="s">
        <v>16</v>
      </c>
      <c r="H162" s="10" t="s">
        <v>111</v>
      </c>
      <c r="I162" s="9">
        <v>0.33611111111111114</v>
      </c>
      <c r="J162" t="str">
        <f>VLOOKUP(E162,[1]!assessment[#Data],4,1)</f>
        <v>FROTA</v>
      </c>
    </row>
    <row r="163" spans="2:10" x14ac:dyDescent="0.3">
      <c r="B163" s="8">
        <v>46113</v>
      </c>
      <c r="C163">
        <v>223695</v>
      </c>
      <c r="D163" s="10" t="s">
        <v>110</v>
      </c>
      <c r="E163" t="s">
        <v>84</v>
      </c>
      <c r="F163" t="s">
        <v>16</v>
      </c>
      <c r="G163" s="10" t="s">
        <v>16</v>
      </c>
      <c r="H163" s="10" t="s">
        <v>113</v>
      </c>
      <c r="I163" s="9">
        <v>0.33611111111111114</v>
      </c>
      <c r="J163" t="str">
        <f>VLOOKUP(E163,[1]!assessment[#Data],4,1)</f>
        <v>RH</v>
      </c>
    </row>
    <row r="164" spans="2:10" x14ac:dyDescent="0.3">
      <c r="B164" s="8">
        <v>46113</v>
      </c>
      <c r="C164">
        <v>223695</v>
      </c>
      <c r="D164" s="10" t="s">
        <v>110</v>
      </c>
      <c r="E164" t="s">
        <v>85</v>
      </c>
      <c r="F164" t="s">
        <v>16</v>
      </c>
      <c r="G164" s="10" t="s">
        <v>16</v>
      </c>
      <c r="H164" s="10" t="s">
        <v>113</v>
      </c>
      <c r="I164" s="9">
        <v>0.33611111111111114</v>
      </c>
      <c r="J164" t="str">
        <f>VLOOKUP(E164,[1]!assessment[#Data],4,1)</f>
        <v>RH</v>
      </c>
    </row>
    <row r="165" spans="2:10" x14ac:dyDescent="0.3">
      <c r="B165" s="8">
        <v>46113</v>
      </c>
      <c r="C165">
        <v>223695</v>
      </c>
      <c r="D165" s="10" t="s">
        <v>110</v>
      </c>
      <c r="E165" t="s">
        <v>86</v>
      </c>
      <c r="F165" t="s">
        <v>16</v>
      </c>
      <c r="G165" s="10" t="s">
        <v>16</v>
      </c>
      <c r="H165" s="10" t="s">
        <v>113</v>
      </c>
      <c r="I165" s="9">
        <v>0.33611111111111114</v>
      </c>
      <c r="J165" t="str">
        <f>VLOOKUP(E165,[1]!assessment[#Data],4,1)</f>
        <v>RH</v>
      </c>
    </row>
    <row r="166" spans="2:10" x14ac:dyDescent="0.3">
      <c r="B166" s="8">
        <v>46113</v>
      </c>
      <c r="C166">
        <v>223695</v>
      </c>
      <c r="D166" s="10" t="s">
        <v>110</v>
      </c>
      <c r="E166" t="s">
        <v>87</v>
      </c>
      <c r="F166" t="s">
        <v>16</v>
      </c>
      <c r="G166" s="10" t="s">
        <v>16</v>
      </c>
      <c r="H166" s="10" t="s">
        <v>113</v>
      </c>
      <c r="I166" s="9">
        <v>0.33611111111111114</v>
      </c>
      <c r="J166" t="str">
        <f>VLOOKUP(E166,[1]!assessment[#Data],4,1)</f>
        <v>RH</v>
      </c>
    </row>
    <row r="167" spans="2:10" x14ac:dyDescent="0.3">
      <c r="B167" s="8">
        <v>46113</v>
      </c>
      <c r="C167">
        <v>223695</v>
      </c>
      <c r="D167" s="10" t="s">
        <v>110</v>
      </c>
      <c r="E167" t="s">
        <v>88</v>
      </c>
      <c r="F167" t="s">
        <v>16</v>
      </c>
      <c r="G167" s="10" t="s">
        <v>16</v>
      </c>
      <c r="H167" s="10" t="s">
        <v>113</v>
      </c>
      <c r="I167" s="9">
        <v>0.33611111111111114</v>
      </c>
      <c r="J167" t="str">
        <f>VLOOKUP(E167,[1]!assessment[#Data],4,1)</f>
        <v>RH</v>
      </c>
    </row>
    <row r="168" spans="2:10" x14ac:dyDescent="0.3">
      <c r="B168" s="8">
        <v>46113</v>
      </c>
      <c r="C168">
        <v>223695</v>
      </c>
      <c r="D168" s="10" t="s">
        <v>110</v>
      </c>
      <c r="E168" t="s">
        <v>89</v>
      </c>
      <c r="F168" t="s">
        <v>16</v>
      </c>
      <c r="G168" s="10" t="s">
        <v>16</v>
      </c>
      <c r="H168" s="10" t="s">
        <v>113</v>
      </c>
      <c r="I168" s="9">
        <v>0.33611111111111114</v>
      </c>
      <c r="J168" t="str">
        <f>VLOOKUP(E168,[1]!assessment[#Data],4,1)</f>
        <v>RH</v>
      </c>
    </row>
    <row r="169" spans="2:10" x14ac:dyDescent="0.3">
      <c r="B169" s="8">
        <v>46113</v>
      </c>
      <c r="C169">
        <v>223695</v>
      </c>
      <c r="D169" s="10" t="s">
        <v>110</v>
      </c>
      <c r="E169" t="s">
        <v>90</v>
      </c>
      <c r="F169" t="s">
        <v>16</v>
      </c>
      <c r="G169" s="10" t="s">
        <v>16</v>
      </c>
      <c r="H169" s="10" t="s">
        <v>113</v>
      </c>
      <c r="I169" s="9">
        <v>0.33611111111111114</v>
      </c>
      <c r="J169" t="str">
        <f>VLOOKUP(E169,[1]!assessment[#Data],4,1)</f>
        <v>RH</v>
      </c>
    </row>
    <row r="170" spans="2:10" x14ac:dyDescent="0.3">
      <c r="B170" s="8">
        <v>46113</v>
      </c>
      <c r="C170">
        <v>223695</v>
      </c>
      <c r="D170" s="10" t="s">
        <v>110</v>
      </c>
      <c r="E170" t="s">
        <v>91</v>
      </c>
      <c r="F170" t="s">
        <v>16</v>
      </c>
      <c r="G170" s="10" t="s">
        <v>16</v>
      </c>
      <c r="H170" s="10" t="s">
        <v>113</v>
      </c>
      <c r="I170" s="9">
        <v>0.33611111111111114</v>
      </c>
      <c r="J170" t="str">
        <f>VLOOKUP(E170,[1]!assessment[#Data],4,1)</f>
        <v>RH</v>
      </c>
    </row>
    <row r="171" spans="2:10" x14ac:dyDescent="0.3">
      <c r="B171" s="8">
        <v>46113</v>
      </c>
      <c r="C171">
        <v>223695</v>
      </c>
      <c r="D171" s="10" t="s">
        <v>110</v>
      </c>
      <c r="E171" t="s">
        <v>92</v>
      </c>
      <c r="F171" t="s">
        <v>16</v>
      </c>
      <c r="G171" s="10" t="s">
        <v>16</v>
      </c>
      <c r="H171" s="10" t="s">
        <v>113</v>
      </c>
      <c r="I171" s="9">
        <v>0.33611111111111114</v>
      </c>
      <c r="J171" t="str">
        <f>VLOOKUP(E171,[1]!assessment[#Data],4,1)</f>
        <v>SHE</v>
      </c>
    </row>
    <row r="172" spans="2:10" x14ac:dyDescent="0.3">
      <c r="B172" s="8">
        <v>46113</v>
      </c>
      <c r="C172">
        <v>223695</v>
      </c>
      <c r="D172" s="10" t="s">
        <v>110</v>
      </c>
      <c r="E172" t="s">
        <v>93</v>
      </c>
      <c r="F172" t="s">
        <v>16</v>
      </c>
      <c r="G172" s="10" t="s">
        <v>16</v>
      </c>
      <c r="H172" s="10" t="s">
        <v>113</v>
      </c>
      <c r="I172" s="9">
        <v>0.33611111111111114</v>
      </c>
      <c r="J172" t="str">
        <f>VLOOKUP(E172,[1]!assessment[#Data],4,1)</f>
        <v>SHE</v>
      </c>
    </row>
    <row r="173" spans="2:10" x14ac:dyDescent="0.3">
      <c r="B173" s="8">
        <v>46113</v>
      </c>
      <c r="C173">
        <v>223695</v>
      </c>
      <c r="D173" s="10" t="s">
        <v>110</v>
      </c>
      <c r="E173" t="s">
        <v>94</v>
      </c>
      <c r="F173" t="s">
        <v>16</v>
      </c>
      <c r="G173" s="10" t="s">
        <v>16</v>
      </c>
      <c r="H173" s="10" t="s">
        <v>113</v>
      </c>
      <c r="I173" s="9">
        <v>0.33611111111111114</v>
      </c>
      <c r="J173" t="str">
        <f>VLOOKUP(E173,[1]!assessment[#Data],4,1)</f>
        <v>SHE</v>
      </c>
    </row>
    <row r="174" spans="2:10" x14ac:dyDescent="0.3">
      <c r="B174" s="8">
        <v>46113</v>
      </c>
      <c r="C174">
        <v>223695</v>
      </c>
      <c r="D174" s="10" t="s">
        <v>110</v>
      </c>
      <c r="E174" t="s">
        <v>95</v>
      </c>
      <c r="F174" t="s">
        <v>16</v>
      </c>
      <c r="G174" s="10" t="s">
        <v>16</v>
      </c>
      <c r="H174" s="10" t="s">
        <v>113</v>
      </c>
      <c r="I174" s="9">
        <v>0.33611111111111114</v>
      </c>
      <c r="J174" t="str">
        <f>VLOOKUP(E174,[1]!assessment[#Data],4,1)</f>
        <v>SHE</v>
      </c>
    </row>
    <row r="175" spans="2:10" x14ac:dyDescent="0.3">
      <c r="B175" s="8">
        <v>46113</v>
      </c>
      <c r="C175">
        <v>223695</v>
      </c>
      <c r="D175" s="10" t="s">
        <v>110</v>
      </c>
      <c r="E175" t="s">
        <v>96</v>
      </c>
      <c r="F175" t="s">
        <v>16</v>
      </c>
      <c r="G175" s="10" t="s">
        <v>16</v>
      </c>
      <c r="H175" s="10" t="s">
        <v>113</v>
      </c>
      <c r="I175" s="9">
        <v>0.33611111111111114</v>
      </c>
      <c r="J175" t="str">
        <f>VLOOKUP(E175,[1]!assessment[#Data],4,1)</f>
        <v>SHE</v>
      </c>
    </row>
    <row r="176" spans="2:10" x14ac:dyDescent="0.3">
      <c r="B176" s="8">
        <v>46113</v>
      </c>
      <c r="C176">
        <v>223695</v>
      </c>
      <c r="D176" s="10" t="s">
        <v>110</v>
      </c>
      <c r="E176" t="s">
        <v>97</v>
      </c>
      <c r="F176" t="s">
        <v>16</v>
      </c>
      <c r="G176" s="10" t="s">
        <v>16</v>
      </c>
      <c r="H176" s="10" t="s">
        <v>113</v>
      </c>
      <c r="I176" s="9">
        <v>0.33611111111111114</v>
      </c>
      <c r="J176" t="str">
        <f>VLOOKUP(E176,[1]!assessment[#Data],4,1)</f>
        <v>SHE</v>
      </c>
    </row>
    <row r="177" spans="1:10" x14ac:dyDescent="0.3">
      <c r="B177" s="8">
        <v>46113</v>
      </c>
      <c r="C177">
        <v>223695</v>
      </c>
      <c r="D177" s="10" t="s">
        <v>110</v>
      </c>
      <c r="E177" t="s">
        <v>98</v>
      </c>
      <c r="F177" t="s">
        <v>16</v>
      </c>
      <c r="G177" s="10" t="s">
        <v>16</v>
      </c>
      <c r="H177" s="10" t="s">
        <v>113</v>
      </c>
      <c r="I177" s="9">
        <v>0.33611111111111114</v>
      </c>
      <c r="J177" t="str">
        <f>VLOOKUP(E177,[1]!assessment[#Data],4,1)</f>
        <v>SHE</v>
      </c>
    </row>
    <row r="178" spans="1:10" x14ac:dyDescent="0.3">
      <c r="B178" s="8">
        <v>46113</v>
      </c>
      <c r="C178">
        <v>223695</v>
      </c>
      <c r="D178" s="10" t="s">
        <v>110</v>
      </c>
      <c r="E178" t="s">
        <v>99</v>
      </c>
      <c r="F178" t="s">
        <v>16</v>
      </c>
      <c r="G178" s="10" t="s">
        <v>16</v>
      </c>
      <c r="H178" s="10" t="s">
        <v>113</v>
      </c>
      <c r="I178" s="9">
        <v>0.33611111111111114</v>
      </c>
      <c r="J178" t="str">
        <f>VLOOKUP(E178,[1]!assessment[#Data],4,1)</f>
        <v>SHE</v>
      </c>
    </row>
    <row r="179" spans="1:10" x14ac:dyDescent="0.3">
      <c r="B179" s="8">
        <v>46113</v>
      </c>
      <c r="C179">
        <v>223695</v>
      </c>
      <c r="D179" s="10" t="s">
        <v>110</v>
      </c>
      <c r="E179" t="s">
        <v>100</v>
      </c>
      <c r="F179" t="s">
        <v>16</v>
      </c>
      <c r="G179" s="10" t="s">
        <v>16</v>
      </c>
      <c r="H179" s="10" t="s">
        <v>113</v>
      </c>
      <c r="I179" s="9">
        <v>0.33611111111111114</v>
      </c>
      <c r="J179" t="str">
        <f>VLOOKUP(E179,[1]!assessment[#Data],4,1)</f>
        <v>SHE</v>
      </c>
    </row>
    <row r="180" spans="1:10" x14ac:dyDescent="0.3">
      <c r="B180" s="8">
        <v>46113</v>
      </c>
      <c r="C180">
        <v>223695</v>
      </c>
      <c r="D180" s="10" t="s">
        <v>110</v>
      </c>
      <c r="E180" t="s">
        <v>101</v>
      </c>
      <c r="F180" t="s">
        <v>16</v>
      </c>
      <c r="G180" s="10" t="s">
        <v>16</v>
      </c>
      <c r="H180" t="s">
        <v>111</v>
      </c>
      <c r="I180" s="9">
        <v>0.33611111111111114</v>
      </c>
      <c r="J180" t="str">
        <f>VLOOKUP(E180,[1]!assessment[#Data],4,1)</f>
        <v>SISTEMA OPERACIONAL</v>
      </c>
    </row>
    <row r="181" spans="1:10" x14ac:dyDescent="0.3">
      <c r="B181" s="8">
        <v>46113</v>
      </c>
      <c r="C181">
        <v>223695</v>
      </c>
      <c r="D181" s="10" t="s">
        <v>110</v>
      </c>
      <c r="E181" t="s">
        <v>102</v>
      </c>
      <c r="F181" t="s">
        <v>16</v>
      </c>
      <c r="G181" s="10" t="s">
        <v>16</v>
      </c>
      <c r="H181" t="s">
        <v>111</v>
      </c>
      <c r="I181" s="9">
        <v>0.33611111111111114</v>
      </c>
      <c r="J181" t="str">
        <f>VLOOKUP(E181,[1]!assessment[#Data],4,1)</f>
        <v>SISTEMA OPERACIONAL</v>
      </c>
    </row>
    <row r="182" spans="1:10" x14ac:dyDescent="0.3">
      <c r="B182" s="8">
        <v>46113</v>
      </c>
      <c r="C182">
        <v>223695</v>
      </c>
      <c r="D182" s="10" t="s">
        <v>110</v>
      </c>
      <c r="E182" t="s">
        <v>103</v>
      </c>
      <c r="F182" t="s">
        <v>13</v>
      </c>
      <c r="G182" s="10" t="s">
        <v>13</v>
      </c>
      <c r="I182" s="9">
        <v>0.33611111111111114</v>
      </c>
      <c r="J182" t="str">
        <f>VLOOKUP(E182,[1]!assessment[#Data],4,1)</f>
        <v>TRADE</v>
      </c>
    </row>
    <row r="183" spans="1:10" x14ac:dyDescent="0.3">
      <c r="B183" s="8">
        <v>46113</v>
      </c>
      <c r="C183">
        <v>223695</v>
      </c>
      <c r="D183" s="10" t="s">
        <v>110</v>
      </c>
      <c r="E183" t="s">
        <v>104</v>
      </c>
      <c r="F183" t="s">
        <v>13</v>
      </c>
      <c r="G183" s="10" t="s">
        <v>13</v>
      </c>
      <c r="I183" s="9">
        <v>0.33611111111111114</v>
      </c>
      <c r="J183" t="str">
        <f>VLOOKUP(E183,[1]!assessment[#Data],4,1)</f>
        <v>TRADE</v>
      </c>
    </row>
    <row r="184" spans="1:10" x14ac:dyDescent="0.3">
      <c r="B184" s="8">
        <v>46113</v>
      </c>
      <c r="C184">
        <v>223695</v>
      </c>
      <c r="D184" s="10" t="s">
        <v>110</v>
      </c>
      <c r="E184" t="s">
        <v>105</v>
      </c>
      <c r="F184" t="s">
        <v>13</v>
      </c>
      <c r="G184" s="10" t="s">
        <v>13</v>
      </c>
      <c r="I184" s="9">
        <v>0.33611111111111114</v>
      </c>
      <c r="J184" t="str">
        <f>VLOOKUP(E184,[1]!assessment[#Data],4,1)</f>
        <v>TRADE</v>
      </c>
    </row>
    <row r="185" spans="1:10" x14ac:dyDescent="0.3">
      <c r="B185" s="8">
        <v>46113</v>
      </c>
      <c r="C185">
        <v>223695</v>
      </c>
      <c r="D185" s="10" t="s">
        <v>110</v>
      </c>
      <c r="E185" t="s">
        <v>106</v>
      </c>
      <c r="F185" t="s">
        <v>13</v>
      </c>
      <c r="G185" s="10" t="s">
        <v>13</v>
      </c>
      <c r="I185" s="9">
        <v>0.33611111111111114</v>
      </c>
      <c r="J185" t="str">
        <f>VLOOKUP(E185,[1]!assessment[#Data],4,1)</f>
        <v>TRADE</v>
      </c>
    </row>
    <row r="186" spans="1:10" x14ac:dyDescent="0.3">
      <c r="B186" s="8">
        <v>46113</v>
      </c>
      <c r="C186">
        <v>223695</v>
      </c>
      <c r="D186" s="10" t="s">
        <v>110</v>
      </c>
      <c r="E186" t="s">
        <v>107</v>
      </c>
      <c r="F186" t="s">
        <v>13</v>
      </c>
      <c r="G186" s="10" t="s">
        <v>13</v>
      </c>
      <c r="I186" s="9">
        <v>0.33611111111111114</v>
      </c>
      <c r="J186" t="str">
        <f>VLOOKUP(E186,[1]!assessment[#Data],4,1)</f>
        <v>TRADE</v>
      </c>
    </row>
    <row r="187" spans="1:10" x14ac:dyDescent="0.3">
      <c r="B187" s="8">
        <v>46113</v>
      </c>
      <c r="C187">
        <v>223695</v>
      </c>
      <c r="D187" s="10" t="s">
        <v>110</v>
      </c>
      <c r="E187" t="s">
        <v>108</v>
      </c>
      <c r="F187" t="s">
        <v>13</v>
      </c>
      <c r="G187" s="10" t="s">
        <v>13</v>
      </c>
      <c r="I187" s="9">
        <v>0.33611111111111114</v>
      </c>
      <c r="J187" t="str">
        <f>VLOOKUP(E187,[1]!assessment[#Data],4,1)</f>
        <v>TRADE</v>
      </c>
    </row>
    <row r="188" spans="1:10" x14ac:dyDescent="0.3">
      <c r="B188" s="8">
        <v>46113</v>
      </c>
      <c r="C188">
        <v>223695</v>
      </c>
      <c r="D188" s="10" t="s">
        <v>110</v>
      </c>
      <c r="E188" t="s">
        <v>109</v>
      </c>
      <c r="F188" t="s">
        <v>13</v>
      </c>
      <c r="G188" s="10" t="s">
        <v>13</v>
      </c>
      <c r="I188" s="9">
        <v>0.33611111111111114</v>
      </c>
      <c r="J188" t="str">
        <f>VLOOKUP(E188,[1]!assessment[#Data],4,1)</f>
        <v>TRADE</v>
      </c>
    </row>
    <row r="189" spans="1:10" x14ac:dyDescent="0.3">
      <c r="A189" s="12"/>
      <c r="B189" s="8">
        <v>46113</v>
      </c>
      <c r="C189">
        <v>205487</v>
      </c>
      <c r="D189" s="10" t="s">
        <v>114</v>
      </c>
      <c r="E189" t="s">
        <v>12</v>
      </c>
      <c r="F189" t="s">
        <v>13</v>
      </c>
      <c r="G189" s="10" t="s">
        <v>13</v>
      </c>
      <c r="I189" s="9">
        <v>0.35486111111111113</v>
      </c>
      <c r="J189" t="str">
        <f>VLOOKUP(E189,[1]!assessment[#Data],4,1)</f>
        <v>ADMINISTRATIVO</v>
      </c>
    </row>
    <row r="190" spans="1:10" x14ac:dyDescent="0.3">
      <c r="B190" s="8">
        <v>46113</v>
      </c>
      <c r="C190">
        <v>205487</v>
      </c>
      <c r="D190" s="10" t="s">
        <v>114</v>
      </c>
      <c r="E190" t="s">
        <v>14</v>
      </c>
      <c r="F190" t="s">
        <v>13</v>
      </c>
      <c r="G190" s="10" t="s">
        <v>13</v>
      </c>
      <c r="I190" s="9">
        <v>0.35486111111111113</v>
      </c>
      <c r="J190" t="str">
        <f>VLOOKUP(E190,[1]!assessment[#Data],4,1)</f>
        <v>ADMINISTRATIVO</v>
      </c>
    </row>
    <row r="191" spans="1:10" x14ac:dyDescent="0.3">
      <c r="B191" s="8">
        <v>46113</v>
      </c>
      <c r="C191">
        <v>205487</v>
      </c>
      <c r="D191" s="10" t="s">
        <v>114</v>
      </c>
      <c r="E191" t="s">
        <v>15</v>
      </c>
      <c r="F191" t="s">
        <v>13</v>
      </c>
      <c r="G191" s="10" t="s">
        <v>13</v>
      </c>
      <c r="I191" s="9">
        <v>0.35486111111111113</v>
      </c>
      <c r="J191" t="str">
        <f>VLOOKUP(E191,[1]!assessment[#Data],4,1)</f>
        <v>ADMINISTRATIVO</v>
      </c>
    </row>
    <row r="192" spans="1:10" x14ac:dyDescent="0.3">
      <c r="B192" s="8">
        <v>46113</v>
      </c>
      <c r="C192">
        <v>205487</v>
      </c>
      <c r="D192" s="10" t="s">
        <v>114</v>
      </c>
      <c r="E192" t="s">
        <v>18</v>
      </c>
      <c r="F192" t="s">
        <v>13</v>
      </c>
      <c r="G192" s="10" t="s">
        <v>13</v>
      </c>
      <c r="I192" s="9">
        <v>0.35486111111111113</v>
      </c>
      <c r="J192" t="str">
        <f>VLOOKUP(E192,[1]!assessment[#Data],4,1)</f>
        <v>ADMINISTRATIVO</v>
      </c>
    </row>
    <row r="193" spans="2:10" x14ac:dyDescent="0.3">
      <c r="B193" s="8">
        <v>46113</v>
      </c>
      <c r="C193">
        <v>205487</v>
      </c>
      <c r="D193" s="10" t="s">
        <v>114</v>
      </c>
      <c r="E193" t="s">
        <v>19</v>
      </c>
      <c r="F193" t="s">
        <v>16</v>
      </c>
      <c r="G193" s="10" t="s">
        <v>16</v>
      </c>
      <c r="H193" t="s">
        <v>115</v>
      </c>
      <c r="I193" s="9">
        <v>0.35486111111111113</v>
      </c>
      <c r="J193" t="str">
        <f>VLOOKUP(E193,[1]!assessment[#Data],4,1)</f>
        <v>ADMINISTRATIVO</v>
      </c>
    </row>
    <row r="194" spans="2:10" x14ac:dyDescent="0.3">
      <c r="B194" s="8">
        <v>46113</v>
      </c>
      <c r="C194">
        <v>205487</v>
      </c>
      <c r="D194" s="10" t="s">
        <v>114</v>
      </c>
      <c r="E194" t="s">
        <v>20</v>
      </c>
      <c r="F194" t="s">
        <v>16</v>
      </c>
      <c r="G194" s="10" t="s">
        <v>16</v>
      </c>
      <c r="H194" t="s">
        <v>115</v>
      </c>
      <c r="I194" s="9">
        <v>0.35486111111111113</v>
      </c>
      <c r="J194" t="str">
        <f>VLOOKUP(E194,[1]!assessment[#Data],4,1)</f>
        <v>ADMINISTRATIVO</v>
      </c>
    </row>
    <row r="195" spans="2:10" x14ac:dyDescent="0.3">
      <c r="B195" s="8">
        <v>46113</v>
      </c>
      <c r="C195">
        <v>205487</v>
      </c>
      <c r="D195" s="10" t="s">
        <v>114</v>
      </c>
      <c r="E195" t="s">
        <v>21</v>
      </c>
      <c r="F195" t="s">
        <v>13</v>
      </c>
      <c r="G195" s="10" t="s">
        <v>13</v>
      </c>
      <c r="I195" s="9">
        <v>0.35486111111111113</v>
      </c>
      <c r="J195" t="str">
        <f>VLOOKUP(E195,[1]!assessment[#Data],4,1)</f>
        <v>ADMINISTRATIVO</v>
      </c>
    </row>
    <row r="196" spans="2:10" x14ac:dyDescent="0.3">
      <c r="B196" s="8">
        <v>46113</v>
      </c>
      <c r="C196">
        <v>205487</v>
      </c>
      <c r="D196" s="10" t="s">
        <v>114</v>
      </c>
      <c r="E196" t="s">
        <v>23</v>
      </c>
      <c r="F196" t="s">
        <v>16</v>
      </c>
      <c r="G196" s="10" t="s">
        <v>16</v>
      </c>
      <c r="H196" t="s">
        <v>115</v>
      </c>
      <c r="I196" s="9">
        <v>0.35486111111111113</v>
      </c>
      <c r="J196" t="str">
        <f>VLOOKUP(E196,[1]!assessment[#Data],4,1)</f>
        <v>ADMINISTRATIVO</v>
      </c>
    </row>
    <row r="197" spans="2:10" x14ac:dyDescent="0.3">
      <c r="B197" s="8">
        <v>46113</v>
      </c>
      <c r="C197">
        <v>205487</v>
      </c>
      <c r="D197" s="10" t="s">
        <v>114</v>
      </c>
      <c r="E197" t="s">
        <v>24</v>
      </c>
      <c r="F197" t="s">
        <v>16</v>
      </c>
      <c r="G197" s="10" t="s">
        <v>16</v>
      </c>
      <c r="H197" t="s">
        <v>115</v>
      </c>
      <c r="I197" s="9">
        <v>0.35486111111111113</v>
      </c>
      <c r="J197" t="str">
        <f>VLOOKUP(E197,[1]!assessment[#Data],4,1)</f>
        <v>ADMINISTRATIVO</v>
      </c>
    </row>
    <row r="198" spans="2:10" x14ac:dyDescent="0.3">
      <c r="B198" s="8">
        <v>46113</v>
      </c>
      <c r="C198">
        <v>205487</v>
      </c>
      <c r="D198" s="10" t="s">
        <v>114</v>
      </c>
      <c r="E198" t="s">
        <v>25</v>
      </c>
      <c r="F198" s="10" t="s">
        <v>16</v>
      </c>
      <c r="G198" s="10" t="s">
        <v>16</v>
      </c>
      <c r="H198" s="10" t="s">
        <v>116</v>
      </c>
      <c r="I198" s="9">
        <v>0.35486111111111113</v>
      </c>
      <c r="J198" t="str">
        <f>VLOOKUP(E198,[1]!assessment[#Data],4,1)</f>
        <v>ADMINISTRATIVO</v>
      </c>
    </row>
    <row r="199" spans="2:10" x14ac:dyDescent="0.3">
      <c r="B199" s="8">
        <v>46113</v>
      </c>
      <c r="C199">
        <v>205487</v>
      </c>
      <c r="D199" s="10" t="s">
        <v>114</v>
      </c>
      <c r="E199" t="s">
        <v>26</v>
      </c>
      <c r="F199" t="s">
        <v>13</v>
      </c>
      <c r="G199" s="10" t="s">
        <v>13</v>
      </c>
      <c r="I199" s="9">
        <v>0.35486111111111113</v>
      </c>
      <c r="J199" t="str">
        <f>VLOOKUP(E199,[1]!assessment[#Data],4,1)</f>
        <v>ADMINISTRATIVO</v>
      </c>
    </row>
    <row r="200" spans="2:10" x14ac:dyDescent="0.3">
      <c r="B200" s="8">
        <v>46113</v>
      </c>
      <c r="C200">
        <v>205487</v>
      </c>
      <c r="D200" s="10" t="s">
        <v>114</v>
      </c>
      <c r="E200" t="s">
        <v>27</v>
      </c>
      <c r="F200" s="10" t="s">
        <v>16</v>
      </c>
      <c r="G200" s="10" t="s">
        <v>16</v>
      </c>
      <c r="H200" s="10" t="s">
        <v>117</v>
      </c>
      <c r="I200" s="9">
        <v>0.35486111111111113</v>
      </c>
      <c r="J200" t="str">
        <f>VLOOKUP(E200,[1]!assessment[#Data],4,1)</f>
        <v>ARMAZÉM</v>
      </c>
    </row>
    <row r="201" spans="2:10" x14ac:dyDescent="0.3">
      <c r="B201" s="8">
        <v>46113</v>
      </c>
      <c r="C201">
        <v>205487</v>
      </c>
      <c r="D201" s="10" t="s">
        <v>114</v>
      </c>
      <c r="E201" t="s">
        <v>28</v>
      </c>
      <c r="F201" s="10" t="s">
        <v>16</v>
      </c>
      <c r="G201" s="10" t="s">
        <v>16</v>
      </c>
      <c r="H201" s="10" t="s">
        <v>117</v>
      </c>
      <c r="I201" s="9">
        <v>0.35486111111111113</v>
      </c>
      <c r="J201" t="str">
        <f>VLOOKUP(E201,[1]!assessment[#Data],4,1)</f>
        <v>ARMAZÉM</v>
      </c>
    </row>
    <row r="202" spans="2:10" x14ac:dyDescent="0.3">
      <c r="B202" s="8">
        <v>46113</v>
      </c>
      <c r="C202">
        <v>205487</v>
      </c>
      <c r="D202" s="10" t="s">
        <v>114</v>
      </c>
      <c r="E202" t="s">
        <v>29</v>
      </c>
      <c r="F202" s="10" t="s">
        <v>16</v>
      </c>
      <c r="G202" s="10" t="s">
        <v>16</v>
      </c>
      <c r="H202" s="10" t="s">
        <v>117</v>
      </c>
      <c r="I202" s="9">
        <v>0.35486111111111113</v>
      </c>
      <c r="J202" t="str">
        <f>VLOOKUP(E202,[1]!assessment[#Data],4,1)</f>
        <v>ARMAZÉM</v>
      </c>
    </row>
    <row r="203" spans="2:10" x14ac:dyDescent="0.3">
      <c r="B203" s="8">
        <v>46113</v>
      </c>
      <c r="C203">
        <v>205487</v>
      </c>
      <c r="D203" s="10" t="s">
        <v>114</v>
      </c>
      <c r="E203" t="s">
        <v>30</v>
      </c>
      <c r="F203" s="10" t="s">
        <v>16</v>
      </c>
      <c r="G203" s="10" t="s">
        <v>16</v>
      </c>
      <c r="H203" s="10" t="s">
        <v>117</v>
      </c>
      <c r="I203" s="9">
        <v>0.35486111111111113</v>
      </c>
      <c r="J203" t="str">
        <f>VLOOKUP(E203,[1]!assessment[#Data],4,1)</f>
        <v>ARMAZÉM</v>
      </c>
    </row>
    <row r="204" spans="2:10" x14ac:dyDescent="0.3">
      <c r="B204" s="8">
        <v>46113</v>
      </c>
      <c r="C204">
        <v>205487</v>
      </c>
      <c r="D204" s="10" t="s">
        <v>114</v>
      </c>
      <c r="E204" t="s">
        <v>31</v>
      </c>
      <c r="F204" s="10" t="s">
        <v>16</v>
      </c>
      <c r="G204" s="10" t="s">
        <v>16</v>
      </c>
      <c r="H204" s="10" t="s">
        <v>117</v>
      </c>
      <c r="I204" s="9">
        <v>0.35486111111111113</v>
      </c>
      <c r="J204" t="str">
        <f>VLOOKUP(E204,[1]!assessment[#Data],4,1)</f>
        <v>ARMAZÉM</v>
      </c>
    </row>
    <row r="205" spans="2:10" x14ac:dyDescent="0.3">
      <c r="B205" s="8">
        <v>46113</v>
      </c>
      <c r="C205">
        <v>205487</v>
      </c>
      <c r="D205" s="10" t="s">
        <v>114</v>
      </c>
      <c r="E205" t="s">
        <v>32</v>
      </c>
      <c r="F205" s="10" t="s">
        <v>16</v>
      </c>
      <c r="G205" s="10" t="s">
        <v>16</v>
      </c>
      <c r="H205" s="10" t="s">
        <v>117</v>
      </c>
      <c r="I205" s="9">
        <v>0.35486111111111113</v>
      </c>
      <c r="J205" t="str">
        <f>VLOOKUP(E205,[1]!assessment[#Data],4,1)</f>
        <v>ARMAZÉM</v>
      </c>
    </row>
    <row r="206" spans="2:10" x14ac:dyDescent="0.3">
      <c r="B206" s="8">
        <v>46113</v>
      </c>
      <c r="C206">
        <v>205487</v>
      </c>
      <c r="D206" s="10" t="s">
        <v>114</v>
      </c>
      <c r="E206" t="s">
        <v>33</v>
      </c>
      <c r="F206" s="10" t="s">
        <v>16</v>
      </c>
      <c r="G206" s="10" t="s">
        <v>16</v>
      </c>
      <c r="H206" s="10" t="s">
        <v>117</v>
      </c>
      <c r="I206" s="9">
        <v>0.35486111111111113</v>
      </c>
      <c r="J206" t="str">
        <f>VLOOKUP(E206,[1]!assessment[#Data],4,1)</f>
        <v>ARMAZÉM</v>
      </c>
    </row>
    <row r="207" spans="2:10" x14ac:dyDescent="0.3">
      <c r="B207" s="8">
        <v>46113</v>
      </c>
      <c r="C207">
        <v>205487</v>
      </c>
      <c r="D207" s="10" t="s">
        <v>114</v>
      </c>
      <c r="E207" t="s">
        <v>34</v>
      </c>
      <c r="F207" s="10" t="s">
        <v>16</v>
      </c>
      <c r="G207" s="10" t="s">
        <v>16</v>
      </c>
      <c r="H207" s="10" t="s">
        <v>117</v>
      </c>
      <c r="I207" s="9">
        <v>0.35486111111111113</v>
      </c>
      <c r="J207" t="str">
        <f>VLOOKUP(E207,[1]!assessment[#Data],4,1)</f>
        <v>ARMAZÉM</v>
      </c>
    </row>
    <row r="208" spans="2:10" x14ac:dyDescent="0.3">
      <c r="B208" s="8">
        <v>46113</v>
      </c>
      <c r="C208">
        <v>205487</v>
      </c>
      <c r="D208" s="10" t="s">
        <v>114</v>
      </c>
      <c r="E208" t="s">
        <v>35</v>
      </c>
      <c r="F208" s="10" t="s">
        <v>16</v>
      </c>
      <c r="G208" s="10" t="s">
        <v>16</v>
      </c>
      <c r="H208" s="10" t="s">
        <v>117</v>
      </c>
      <c r="I208" s="9">
        <v>0.35486111111111113</v>
      </c>
      <c r="J208" t="str">
        <f>VLOOKUP(E208,[1]!assessment[#Data],4,1)</f>
        <v>ARMAZÉM</v>
      </c>
    </row>
    <row r="209" spans="2:10" x14ac:dyDescent="0.3">
      <c r="B209" s="8">
        <v>46113</v>
      </c>
      <c r="C209">
        <v>205487</v>
      </c>
      <c r="D209" s="10" t="s">
        <v>114</v>
      </c>
      <c r="E209" t="s">
        <v>36</v>
      </c>
      <c r="F209" s="10" t="s">
        <v>16</v>
      </c>
      <c r="G209" s="10" t="s">
        <v>16</v>
      </c>
      <c r="H209" s="10" t="s">
        <v>117</v>
      </c>
      <c r="I209" s="9">
        <v>0.35486111111111113</v>
      </c>
      <c r="J209" t="str">
        <f>VLOOKUP(E209,[1]!assessment[#Data],4,1)</f>
        <v>ARMAZÉM</v>
      </c>
    </row>
    <row r="210" spans="2:10" x14ac:dyDescent="0.3">
      <c r="B210" s="8">
        <v>46113</v>
      </c>
      <c r="C210">
        <v>205487</v>
      </c>
      <c r="D210" s="10" t="s">
        <v>114</v>
      </c>
      <c r="E210" t="s">
        <v>37</v>
      </c>
      <c r="F210" t="s">
        <v>13</v>
      </c>
      <c r="G210" s="10" t="s">
        <v>13</v>
      </c>
      <c r="I210" s="9">
        <v>0.35486111111111113</v>
      </c>
      <c r="J210" t="str">
        <f>VLOOKUP(E210,[1]!assessment[#Data],4,1)</f>
        <v>COMODATO</v>
      </c>
    </row>
    <row r="211" spans="2:10" x14ac:dyDescent="0.3">
      <c r="B211" s="8">
        <v>46113</v>
      </c>
      <c r="C211">
        <v>205487</v>
      </c>
      <c r="D211" s="10" t="s">
        <v>114</v>
      </c>
      <c r="E211" t="s">
        <v>38</v>
      </c>
      <c r="F211" t="s">
        <v>13</v>
      </c>
      <c r="G211" s="10" t="s">
        <v>13</v>
      </c>
      <c r="I211" s="9">
        <v>0.35486111111111113</v>
      </c>
      <c r="J211" t="str">
        <f>VLOOKUP(E211,[1]!assessment[#Data],4,1)</f>
        <v>COMODATO</v>
      </c>
    </row>
    <row r="212" spans="2:10" x14ac:dyDescent="0.3">
      <c r="B212" s="8">
        <v>46113</v>
      </c>
      <c r="C212">
        <v>205487</v>
      </c>
      <c r="D212" s="10" t="s">
        <v>114</v>
      </c>
      <c r="E212" t="s">
        <v>39</v>
      </c>
      <c r="F212" t="s">
        <v>13</v>
      </c>
      <c r="G212" s="10" t="s">
        <v>13</v>
      </c>
      <c r="I212" s="9">
        <v>0.35486111111111113</v>
      </c>
      <c r="J212" t="str">
        <f>VLOOKUP(E212,[1]!assessment[#Data],4,1)</f>
        <v>COMODATO</v>
      </c>
    </row>
    <row r="213" spans="2:10" x14ac:dyDescent="0.3">
      <c r="B213" s="8">
        <v>46113</v>
      </c>
      <c r="C213">
        <v>205487</v>
      </c>
      <c r="D213" s="10" t="s">
        <v>114</v>
      </c>
      <c r="E213" t="s">
        <v>40</v>
      </c>
      <c r="F213" t="s">
        <v>13</v>
      </c>
      <c r="G213" s="10" t="s">
        <v>13</v>
      </c>
      <c r="I213" s="9">
        <v>0.35486111111111113</v>
      </c>
      <c r="J213" t="str">
        <f>VLOOKUP(E213,[1]!assessment[#Data],4,1)</f>
        <v>COMERCIAL</v>
      </c>
    </row>
    <row r="214" spans="2:10" x14ac:dyDescent="0.3">
      <c r="B214" s="8">
        <v>46113</v>
      </c>
      <c r="C214">
        <v>205487</v>
      </c>
      <c r="D214" s="10" t="s">
        <v>114</v>
      </c>
      <c r="E214" t="s">
        <v>42</v>
      </c>
      <c r="F214" t="s">
        <v>13</v>
      </c>
      <c r="G214" s="10" t="s">
        <v>13</v>
      </c>
      <c r="I214" s="9">
        <v>0.35486111111111113</v>
      </c>
      <c r="J214" t="str">
        <f>VLOOKUP(E214,[1]!assessment[#Data],4,1)</f>
        <v>COMERCIAL</v>
      </c>
    </row>
    <row r="215" spans="2:10" x14ac:dyDescent="0.3">
      <c r="B215" s="8">
        <v>46113</v>
      </c>
      <c r="C215">
        <v>205487</v>
      </c>
      <c r="D215" s="10" t="s">
        <v>114</v>
      </c>
      <c r="E215" t="s">
        <v>43</v>
      </c>
      <c r="F215" t="s">
        <v>13</v>
      </c>
      <c r="G215" s="10" t="s">
        <v>13</v>
      </c>
      <c r="I215" s="9">
        <v>0.35486111111111113</v>
      </c>
      <c r="J215" t="str">
        <f>VLOOKUP(E215,[1]!assessment[#Data],4,1)</f>
        <v>COMERCIAL</v>
      </c>
    </row>
    <row r="216" spans="2:10" x14ac:dyDescent="0.3">
      <c r="B216" s="8">
        <v>46113</v>
      </c>
      <c r="C216">
        <v>205487</v>
      </c>
      <c r="D216" s="10" t="s">
        <v>114</v>
      </c>
      <c r="E216" t="s">
        <v>45</v>
      </c>
      <c r="F216" t="s">
        <v>13</v>
      </c>
      <c r="G216" s="10" t="s">
        <v>13</v>
      </c>
      <c r="I216" s="9">
        <v>0.35486111111111113</v>
      </c>
      <c r="J216" t="str">
        <f>VLOOKUP(E216,[1]!assessment[#Data],4,1)</f>
        <v>COMERCIAL</v>
      </c>
    </row>
    <row r="217" spans="2:10" x14ac:dyDescent="0.3">
      <c r="B217" s="8">
        <v>46113</v>
      </c>
      <c r="C217">
        <v>205487</v>
      </c>
      <c r="D217" s="10" t="s">
        <v>114</v>
      </c>
      <c r="E217" t="s">
        <v>46</v>
      </c>
      <c r="F217" t="s">
        <v>13</v>
      </c>
      <c r="G217" s="10" t="s">
        <v>13</v>
      </c>
      <c r="I217" s="9">
        <v>0.35486111111111113</v>
      </c>
      <c r="J217" t="str">
        <f>VLOOKUP(E217,[1]!assessment[#Data],4,1)</f>
        <v>COMERCIAL</v>
      </c>
    </row>
    <row r="218" spans="2:10" x14ac:dyDescent="0.3">
      <c r="B218" s="8">
        <v>46113</v>
      </c>
      <c r="C218">
        <v>205487</v>
      </c>
      <c r="D218" s="10" t="s">
        <v>114</v>
      </c>
      <c r="E218" t="s">
        <v>47</v>
      </c>
      <c r="F218" t="s">
        <v>13</v>
      </c>
      <c r="G218" s="10" t="s">
        <v>13</v>
      </c>
      <c r="I218" s="9">
        <v>0.35486111111111113</v>
      </c>
      <c r="J218" t="str">
        <f>VLOOKUP(E218,[1]!assessment[#Data],4,1)</f>
        <v>COMERCIAL</v>
      </c>
    </row>
    <row r="219" spans="2:10" x14ac:dyDescent="0.3">
      <c r="B219" s="8">
        <v>46113</v>
      </c>
      <c r="C219">
        <v>205487</v>
      </c>
      <c r="D219" s="10" t="s">
        <v>114</v>
      </c>
      <c r="E219" t="s">
        <v>48</v>
      </c>
      <c r="F219" t="s">
        <v>13</v>
      </c>
      <c r="G219" s="10" t="s">
        <v>13</v>
      </c>
      <c r="I219" s="9">
        <v>0.35486111111111113</v>
      </c>
      <c r="J219" t="str">
        <f>VLOOKUP(E219,[1]!assessment[#Data],4,1)</f>
        <v>COMERCIAL</v>
      </c>
    </row>
    <row r="220" spans="2:10" x14ac:dyDescent="0.3">
      <c r="B220" s="8">
        <v>46113</v>
      </c>
      <c r="C220">
        <v>205487</v>
      </c>
      <c r="D220" s="10" t="s">
        <v>114</v>
      </c>
      <c r="E220" t="s">
        <v>49</v>
      </c>
      <c r="F220" s="10" t="s">
        <v>16</v>
      </c>
      <c r="G220" s="10" t="s">
        <v>16</v>
      </c>
      <c r="H220" s="10" t="s">
        <v>118</v>
      </c>
      <c r="I220" s="9">
        <v>0.35486111111111113</v>
      </c>
      <c r="J220" t="str">
        <f>VLOOKUP(E220,[1]!assessment[#Data],4,1)</f>
        <v>COMERCIAL</v>
      </c>
    </row>
    <row r="221" spans="2:10" x14ac:dyDescent="0.3">
      <c r="B221" s="8">
        <v>46113</v>
      </c>
      <c r="C221">
        <v>205487</v>
      </c>
      <c r="D221" s="10" t="s">
        <v>114</v>
      </c>
      <c r="E221" t="s">
        <v>50</v>
      </c>
      <c r="F221" t="s">
        <v>13</v>
      </c>
      <c r="G221" s="10" t="s">
        <v>13</v>
      </c>
      <c r="I221" s="9">
        <v>0.35486111111111113</v>
      </c>
      <c r="J221" t="str">
        <f>VLOOKUP(E221,[1]!assessment[#Data],4,1)</f>
        <v>COMERCIAL</v>
      </c>
    </row>
    <row r="222" spans="2:10" x14ac:dyDescent="0.3">
      <c r="B222" s="8">
        <v>46113</v>
      </c>
      <c r="C222">
        <v>205487</v>
      </c>
      <c r="D222" s="10" t="s">
        <v>114</v>
      </c>
      <c r="E222" t="s">
        <v>51</v>
      </c>
      <c r="F222" s="10" t="s">
        <v>16</v>
      </c>
      <c r="G222" s="10" t="s">
        <v>16</v>
      </c>
      <c r="H222" s="10" t="s">
        <v>118</v>
      </c>
      <c r="I222" s="9">
        <v>0.35486111111111113</v>
      </c>
      <c r="J222" t="str">
        <f>VLOOKUP(E222,[1]!assessment[#Data],4,1)</f>
        <v>COMERCIAL</v>
      </c>
    </row>
    <row r="223" spans="2:10" x14ac:dyDescent="0.3">
      <c r="B223" s="8">
        <v>46113</v>
      </c>
      <c r="C223">
        <v>205487</v>
      </c>
      <c r="D223" s="10" t="s">
        <v>114</v>
      </c>
      <c r="E223" t="s">
        <v>52</v>
      </c>
      <c r="F223" t="s">
        <v>13</v>
      </c>
      <c r="G223" s="10" t="s">
        <v>13</v>
      </c>
      <c r="I223" s="9">
        <v>0.35486111111111113</v>
      </c>
      <c r="J223" t="str">
        <f>VLOOKUP(E223,[1]!assessment[#Data],4,1)</f>
        <v>COMERCIAL</v>
      </c>
    </row>
    <row r="224" spans="2:10" x14ac:dyDescent="0.3">
      <c r="B224" s="8">
        <v>46113</v>
      </c>
      <c r="C224">
        <v>205487</v>
      </c>
      <c r="D224" s="10" t="s">
        <v>114</v>
      </c>
      <c r="E224" t="s">
        <v>53</v>
      </c>
      <c r="F224" t="s">
        <v>13</v>
      </c>
      <c r="G224" s="10" t="s">
        <v>13</v>
      </c>
      <c r="I224" s="9">
        <v>0.35486111111111113</v>
      </c>
      <c r="J224" t="str">
        <f>VLOOKUP(E224,[1]!assessment[#Data],4,1)</f>
        <v>COMERCIAL</v>
      </c>
    </row>
    <row r="225" spans="2:10" x14ac:dyDescent="0.3">
      <c r="B225" s="8">
        <v>46113</v>
      </c>
      <c r="C225">
        <v>205487</v>
      </c>
      <c r="D225" s="10" t="s">
        <v>114</v>
      </c>
      <c r="E225" t="s">
        <v>54</v>
      </c>
      <c r="F225" t="s">
        <v>13</v>
      </c>
      <c r="G225" s="10" t="s">
        <v>13</v>
      </c>
      <c r="I225" s="9">
        <v>0.35486111111111113</v>
      </c>
      <c r="J225" t="str">
        <f>VLOOKUP(E225,[1]!assessment[#Data],4,1)</f>
        <v>COMERCIAL</v>
      </c>
    </row>
    <row r="226" spans="2:10" x14ac:dyDescent="0.3">
      <c r="B226" s="8">
        <v>46113</v>
      </c>
      <c r="C226">
        <v>205487</v>
      </c>
      <c r="D226" s="10" t="s">
        <v>114</v>
      </c>
      <c r="E226" t="s">
        <v>55</v>
      </c>
      <c r="F226" t="s">
        <v>13</v>
      </c>
      <c r="G226" s="10" t="s">
        <v>13</v>
      </c>
      <c r="I226" s="9">
        <v>0.35486111111111113</v>
      </c>
      <c r="J226" t="str">
        <f>VLOOKUP(E226,[1]!assessment[#Data],4,1)</f>
        <v>COMERCIAL</v>
      </c>
    </row>
    <row r="227" spans="2:10" x14ac:dyDescent="0.3">
      <c r="B227" s="8">
        <v>46113</v>
      </c>
      <c r="C227">
        <v>205487</v>
      </c>
      <c r="D227" s="10" t="s">
        <v>114</v>
      </c>
      <c r="E227" t="s">
        <v>56</v>
      </c>
      <c r="F227" t="s">
        <v>13</v>
      </c>
      <c r="G227" s="10" t="s">
        <v>13</v>
      </c>
      <c r="I227" s="9">
        <v>0.35486111111111113</v>
      </c>
      <c r="J227" t="str">
        <f>VLOOKUP(E227,[1]!assessment[#Data],4,1)</f>
        <v>COMERCIAL</v>
      </c>
    </row>
    <row r="228" spans="2:10" x14ac:dyDescent="0.3">
      <c r="B228" s="8">
        <v>46113</v>
      </c>
      <c r="C228">
        <v>205487</v>
      </c>
      <c r="D228" s="10" t="s">
        <v>114</v>
      </c>
      <c r="E228" t="s">
        <v>57</v>
      </c>
      <c r="F228" t="s">
        <v>13</v>
      </c>
      <c r="G228" s="10" t="s">
        <v>13</v>
      </c>
      <c r="I228" s="9">
        <v>0.35486111111111113</v>
      </c>
      <c r="J228" t="str">
        <f>VLOOKUP(E228,[1]!assessment[#Data],4,1)</f>
        <v>COMERCIAL</v>
      </c>
    </row>
    <row r="229" spans="2:10" x14ac:dyDescent="0.3">
      <c r="B229" s="8">
        <v>46113</v>
      </c>
      <c r="C229">
        <v>205487</v>
      </c>
      <c r="D229" s="10" t="s">
        <v>114</v>
      </c>
      <c r="E229" t="s">
        <v>58</v>
      </c>
      <c r="F229" t="s">
        <v>13</v>
      </c>
      <c r="G229" s="10" t="s">
        <v>13</v>
      </c>
      <c r="I229" s="9">
        <v>0.35486111111111113</v>
      </c>
      <c r="J229" t="str">
        <f>VLOOKUP(E229,[1]!assessment[#Data],4,1)</f>
        <v>COMERCIAL</v>
      </c>
    </row>
    <row r="230" spans="2:10" x14ac:dyDescent="0.3">
      <c r="B230" s="8">
        <v>46113</v>
      </c>
      <c r="C230">
        <v>205487</v>
      </c>
      <c r="D230" s="10" t="s">
        <v>114</v>
      </c>
      <c r="E230" t="s">
        <v>59</v>
      </c>
      <c r="F230" t="s">
        <v>13</v>
      </c>
      <c r="G230" s="10" t="s">
        <v>13</v>
      </c>
      <c r="I230" s="9">
        <v>0.35486111111111113</v>
      </c>
      <c r="J230" t="str">
        <f>VLOOKUP(E230,[1]!assessment[#Data],4,1)</f>
        <v>COMERCIAL</v>
      </c>
    </row>
    <row r="231" spans="2:10" x14ac:dyDescent="0.3">
      <c r="B231" s="8">
        <v>46113</v>
      </c>
      <c r="C231">
        <v>205487</v>
      </c>
      <c r="D231" s="10" t="s">
        <v>114</v>
      </c>
      <c r="E231" t="s">
        <v>60</v>
      </c>
      <c r="F231" t="s">
        <v>13</v>
      </c>
      <c r="G231" s="10" t="s">
        <v>13</v>
      </c>
      <c r="I231" s="9">
        <v>0.35486111111111113</v>
      </c>
      <c r="J231" t="str">
        <f>VLOOKUP(E231,[1]!assessment[#Data],4,1)</f>
        <v>COMERCIAL</v>
      </c>
    </row>
    <row r="232" spans="2:10" x14ac:dyDescent="0.3">
      <c r="B232" s="8">
        <v>46113</v>
      </c>
      <c r="C232">
        <v>205487</v>
      </c>
      <c r="D232" s="10" t="s">
        <v>114</v>
      </c>
      <c r="E232" t="s">
        <v>61</v>
      </c>
      <c r="F232" t="s">
        <v>13</v>
      </c>
      <c r="G232" s="10" t="s">
        <v>13</v>
      </c>
      <c r="I232" s="9">
        <v>0.35486111111111113</v>
      </c>
      <c r="J232" t="str">
        <f>VLOOKUP(E232,[1]!assessment[#Data],4,1)</f>
        <v>COMERCIAL</v>
      </c>
    </row>
    <row r="233" spans="2:10" x14ac:dyDescent="0.3">
      <c r="B233" s="8">
        <v>46113</v>
      </c>
      <c r="C233">
        <v>205487</v>
      </c>
      <c r="D233" s="10" t="s">
        <v>114</v>
      </c>
      <c r="E233" t="s">
        <v>62</v>
      </c>
      <c r="F233" t="s">
        <v>13</v>
      </c>
      <c r="G233" s="10" t="s">
        <v>13</v>
      </c>
      <c r="I233" s="9">
        <v>0.35486111111111113</v>
      </c>
      <c r="J233" t="str">
        <f>VLOOKUP(E233,[1]!assessment[#Data],4,1)</f>
        <v>COMERCIAL</v>
      </c>
    </row>
    <row r="234" spans="2:10" x14ac:dyDescent="0.3">
      <c r="B234" s="8">
        <v>46113</v>
      </c>
      <c r="C234">
        <v>205487</v>
      </c>
      <c r="D234" s="10" t="s">
        <v>114</v>
      </c>
      <c r="E234" t="s">
        <v>63</v>
      </c>
      <c r="F234" t="s">
        <v>13</v>
      </c>
      <c r="G234" s="10" t="s">
        <v>13</v>
      </c>
      <c r="I234" s="9">
        <v>0.35486111111111113</v>
      </c>
      <c r="J234" t="str">
        <f>VLOOKUP(E234,[1]!assessment[#Data],4,1)</f>
        <v>COMERCIAL</v>
      </c>
    </row>
    <row r="235" spans="2:10" x14ac:dyDescent="0.3">
      <c r="B235" s="8">
        <v>46113</v>
      </c>
      <c r="C235">
        <v>205487</v>
      </c>
      <c r="D235" s="10" t="s">
        <v>114</v>
      </c>
      <c r="E235" t="s">
        <v>64</v>
      </c>
      <c r="F235" t="s">
        <v>13</v>
      </c>
      <c r="G235" s="10" t="s">
        <v>13</v>
      </c>
      <c r="I235" s="9">
        <v>0.35486111111111113</v>
      </c>
      <c r="J235" t="str">
        <f>VLOOKUP(E235,[1]!assessment[#Data],4,1)</f>
        <v>COMERCIAL</v>
      </c>
    </row>
    <row r="236" spans="2:10" x14ac:dyDescent="0.3">
      <c r="B236" s="8">
        <v>46113</v>
      </c>
      <c r="C236">
        <v>205487</v>
      </c>
      <c r="D236" s="10" t="s">
        <v>114</v>
      </c>
      <c r="E236" t="s">
        <v>65</v>
      </c>
      <c r="F236" t="s">
        <v>13</v>
      </c>
      <c r="G236" s="10" t="s">
        <v>13</v>
      </c>
      <c r="I236" s="9">
        <v>0.35486111111111113</v>
      </c>
      <c r="J236" t="str">
        <f>VLOOKUP(E236,[1]!assessment[#Data],4,1)</f>
        <v>COMERCIAL</v>
      </c>
    </row>
    <row r="237" spans="2:10" x14ac:dyDescent="0.3">
      <c r="B237" s="8">
        <v>46113</v>
      </c>
      <c r="C237">
        <v>205487</v>
      </c>
      <c r="D237" s="10" t="s">
        <v>114</v>
      </c>
      <c r="E237" t="s">
        <v>66</v>
      </c>
      <c r="F237" t="s">
        <v>13</v>
      </c>
      <c r="G237" s="10" t="s">
        <v>13</v>
      </c>
      <c r="I237" s="9">
        <v>0.35486111111111113</v>
      </c>
      <c r="J237" t="str">
        <f>VLOOKUP(E237,[1]!assessment[#Data],4,1)</f>
        <v>COMERCIAL</v>
      </c>
    </row>
    <row r="238" spans="2:10" x14ac:dyDescent="0.3">
      <c r="B238" s="8">
        <v>46113</v>
      </c>
      <c r="C238">
        <v>205487</v>
      </c>
      <c r="D238" s="10" t="s">
        <v>114</v>
      </c>
      <c r="E238" t="s">
        <v>67</v>
      </c>
      <c r="F238" t="s">
        <v>13</v>
      </c>
      <c r="G238" s="10" t="s">
        <v>13</v>
      </c>
      <c r="I238" s="9">
        <v>0.35486111111111113</v>
      </c>
      <c r="J238" t="str">
        <f>VLOOKUP(E238,[1]!assessment[#Data],4,1)</f>
        <v>COMERCIAL</v>
      </c>
    </row>
    <row r="239" spans="2:10" x14ac:dyDescent="0.3">
      <c r="B239" s="8">
        <v>46113</v>
      </c>
      <c r="C239">
        <v>205487</v>
      </c>
      <c r="D239" s="10" t="s">
        <v>114</v>
      </c>
      <c r="E239" t="s">
        <v>68</v>
      </c>
      <c r="F239" t="s">
        <v>13</v>
      </c>
      <c r="G239" s="10" t="s">
        <v>13</v>
      </c>
      <c r="I239" s="9">
        <v>0.35486111111111113</v>
      </c>
      <c r="J239" t="str">
        <f>VLOOKUP(E239,[1]!assessment[#Data],4,1)</f>
        <v>COMERCIAL</v>
      </c>
    </row>
    <row r="240" spans="2:10" x14ac:dyDescent="0.3">
      <c r="B240" s="8">
        <v>46113</v>
      </c>
      <c r="C240">
        <v>205487</v>
      </c>
      <c r="D240" s="10" t="s">
        <v>114</v>
      </c>
      <c r="E240" t="s">
        <v>69</v>
      </c>
      <c r="F240" t="s">
        <v>13</v>
      </c>
      <c r="G240" s="10" t="s">
        <v>13</v>
      </c>
      <c r="I240" s="9">
        <v>0.35486111111111113</v>
      </c>
      <c r="J240" t="str">
        <f>VLOOKUP(E240,[1]!assessment[#Data],4,1)</f>
        <v>COMERCIAL</v>
      </c>
    </row>
    <row r="241" spans="2:10" x14ac:dyDescent="0.3">
      <c r="B241" s="8">
        <v>46113</v>
      </c>
      <c r="C241">
        <v>205487</v>
      </c>
      <c r="D241" s="10" t="s">
        <v>114</v>
      </c>
      <c r="E241" t="s">
        <v>70</v>
      </c>
      <c r="F241" t="s">
        <v>13</v>
      </c>
      <c r="G241" s="10" t="s">
        <v>13</v>
      </c>
      <c r="I241" s="9">
        <v>0.35486111111111113</v>
      </c>
      <c r="J241" t="str">
        <f>VLOOKUP(E241,[1]!assessment[#Data],4,1)</f>
        <v>COMERCIAL</v>
      </c>
    </row>
    <row r="242" spans="2:10" x14ac:dyDescent="0.3">
      <c r="B242" s="8">
        <v>46113</v>
      </c>
      <c r="C242">
        <v>205487</v>
      </c>
      <c r="D242" s="10" t="s">
        <v>114</v>
      </c>
      <c r="E242" t="s">
        <v>71</v>
      </c>
      <c r="F242" t="s">
        <v>13</v>
      </c>
      <c r="G242" s="10" t="s">
        <v>13</v>
      </c>
      <c r="I242" s="9">
        <v>0.35486111111111113</v>
      </c>
      <c r="J242" t="str">
        <f>VLOOKUP(E242,[1]!assessment[#Data],4,1)</f>
        <v>COMERCIAL</v>
      </c>
    </row>
    <row r="243" spans="2:10" x14ac:dyDescent="0.3">
      <c r="B243" s="8">
        <v>46113</v>
      </c>
      <c r="C243">
        <v>205487</v>
      </c>
      <c r="D243" s="10" t="s">
        <v>114</v>
      </c>
      <c r="E243" t="s">
        <v>72</v>
      </c>
      <c r="F243" t="s">
        <v>13</v>
      </c>
      <c r="G243" s="10" t="s">
        <v>13</v>
      </c>
      <c r="I243" s="9">
        <v>0.35486111111111113</v>
      </c>
      <c r="J243" t="str">
        <f>VLOOKUP(E243,[1]!assessment[#Data],4,1)</f>
        <v>COMERCIAL</v>
      </c>
    </row>
    <row r="244" spans="2:10" x14ac:dyDescent="0.3">
      <c r="B244" s="8">
        <v>46113</v>
      </c>
      <c r="C244">
        <v>205487</v>
      </c>
      <c r="D244" s="10" t="s">
        <v>114</v>
      </c>
      <c r="E244" t="s">
        <v>73</v>
      </c>
      <c r="F244" s="10" t="s">
        <v>16</v>
      </c>
      <c r="G244" s="10" t="s">
        <v>16</v>
      </c>
      <c r="H244" s="10" t="s">
        <v>117</v>
      </c>
      <c r="I244" s="9">
        <v>0.35486111111111113</v>
      </c>
      <c r="J244" t="str">
        <f>VLOOKUP(E244,[1]!assessment[#Data],4,1)</f>
        <v>DISTRIBUIÇÃO</v>
      </c>
    </row>
    <row r="245" spans="2:10" x14ac:dyDescent="0.3">
      <c r="B245" s="8">
        <v>46113</v>
      </c>
      <c r="C245">
        <v>205487</v>
      </c>
      <c r="D245" s="10" t="s">
        <v>114</v>
      </c>
      <c r="E245" t="s">
        <v>74</v>
      </c>
      <c r="F245" s="10" t="s">
        <v>16</v>
      </c>
      <c r="G245" s="10" t="s">
        <v>16</v>
      </c>
      <c r="H245" s="10" t="s">
        <v>117</v>
      </c>
      <c r="I245" s="9">
        <v>0.35486111111111113</v>
      </c>
      <c r="J245" t="str">
        <f>VLOOKUP(E245,[1]!assessment[#Data],4,1)</f>
        <v>DISTRIBUIÇÃO</v>
      </c>
    </row>
    <row r="246" spans="2:10" x14ac:dyDescent="0.3">
      <c r="B246" s="8">
        <v>46113</v>
      </c>
      <c r="C246">
        <v>205487</v>
      </c>
      <c r="D246" s="10" t="s">
        <v>114</v>
      </c>
      <c r="E246" t="s">
        <v>75</v>
      </c>
      <c r="F246" s="10" t="s">
        <v>16</v>
      </c>
      <c r="G246" s="10" t="s">
        <v>16</v>
      </c>
      <c r="H246" s="10" t="s">
        <v>117</v>
      </c>
      <c r="I246" s="9">
        <v>0.35486111111111113</v>
      </c>
      <c r="J246" t="str">
        <f>VLOOKUP(E246,[1]!assessment[#Data],4,1)</f>
        <v>DISTRIBUIÇÃO</v>
      </c>
    </row>
    <row r="247" spans="2:10" x14ac:dyDescent="0.3">
      <c r="B247" s="8">
        <v>46113</v>
      </c>
      <c r="C247">
        <v>205487</v>
      </c>
      <c r="D247" s="10" t="s">
        <v>114</v>
      </c>
      <c r="E247" t="s">
        <v>76</v>
      </c>
      <c r="F247" s="10" t="s">
        <v>16</v>
      </c>
      <c r="G247" s="10" t="s">
        <v>16</v>
      </c>
      <c r="H247" s="10" t="s">
        <v>117</v>
      </c>
      <c r="I247" s="9">
        <v>0.35486111111111113</v>
      </c>
      <c r="J247" t="str">
        <f>VLOOKUP(E247,[1]!assessment[#Data],4,1)</f>
        <v>DISTRIBUIÇÃO</v>
      </c>
    </row>
    <row r="248" spans="2:10" x14ac:dyDescent="0.3">
      <c r="B248" s="8">
        <v>46113</v>
      </c>
      <c r="C248">
        <v>205487</v>
      </c>
      <c r="D248" s="10" t="s">
        <v>114</v>
      </c>
      <c r="E248" t="s">
        <v>77</v>
      </c>
      <c r="F248" s="10" t="s">
        <v>16</v>
      </c>
      <c r="G248" s="10" t="s">
        <v>16</v>
      </c>
      <c r="H248" s="10" t="s">
        <v>117</v>
      </c>
      <c r="I248" s="9">
        <v>0.35486111111111113</v>
      </c>
      <c r="J248" t="str">
        <f>VLOOKUP(E248,[1]!assessment[#Data],4,1)</f>
        <v>DISTRIBUIÇÃO</v>
      </c>
    </row>
    <row r="249" spans="2:10" x14ac:dyDescent="0.3">
      <c r="B249" s="8">
        <v>46113</v>
      </c>
      <c r="C249">
        <v>205487</v>
      </c>
      <c r="D249" s="10" t="s">
        <v>114</v>
      </c>
      <c r="E249" t="s">
        <v>78</v>
      </c>
      <c r="F249" s="10" t="s">
        <v>16</v>
      </c>
      <c r="G249" s="10" t="s">
        <v>16</v>
      </c>
      <c r="H249" s="10" t="s">
        <v>117</v>
      </c>
      <c r="I249" s="9">
        <v>0.35486111111111113</v>
      </c>
      <c r="J249" t="str">
        <f>VLOOKUP(E249,[1]!assessment[#Data],4,1)</f>
        <v>DISTRIBUIÇÃO</v>
      </c>
    </row>
    <row r="250" spans="2:10" x14ac:dyDescent="0.3">
      <c r="B250" s="8">
        <v>46113</v>
      </c>
      <c r="C250">
        <v>205487</v>
      </c>
      <c r="D250" s="10" t="s">
        <v>114</v>
      </c>
      <c r="E250" t="s">
        <v>79</v>
      </c>
      <c r="F250" s="10" t="s">
        <v>16</v>
      </c>
      <c r="G250" s="10" t="s">
        <v>16</v>
      </c>
      <c r="H250" s="10" t="s">
        <v>117</v>
      </c>
      <c r="I250" s="9">
        <v>0.35486111111111113</v>
      </c>
      <c r="J250" t="str">
        <f>VLOOKUP(E250,[1]!assessment[#Data],4,1)</f>
        <v>FROTA</v>
      </c>
    </row>
    <row r="251" spans="2:10" x14ac:dyDescent="0.3">
      <c r="B251" s="8">
        <v>46113</v>
      </c>
      <c r="C251">
        <v>205487</v>
      </c>
      <c r="D251" s="10" t="s">
        <v>114</v>
      </c>
      <c r="E251" t="s">
        <v>80</v>
      </c>
      <c r="F251" s="10" t="s">
        <v>16</v>
      </c>
      <c r="G251" s="10" t="s">
        <v>16</v>
      </c>
      <c r="H251" s="10" t="s">
        <v>117</v>
      </c>
      <c r="I251" s="9">
        <v>0.35486111111111113</v>
      </c>
      <c r="J251" t="str">
        <f>VLOOKUP(E251,[1]!assessment[#Data],4,1)</f>
        <v>FROTA</v>
      </c>
    </row>
    <row r="252" spans="2:10" x14ac:dyDescent="0.3">
      <c r="B252" s="8">
        <v>46113</v>
      </c>
      <c r="C252">
        <v>205487</v>
      </c>
      <c r="D252" s="10" t="s">
        <v>114</v>
      </c>
      <c r="E252" t="s">
        <v>81</v>
      </c>
      <c r="F252" s="10" t="s">
        <v>16</v>
      </c>
      <c r="G252" s="10" t="s">
        <v>16</v>
      </c>
      <c r="H252" s="10" t="s">
        <v>117</v>
      </c>
      <c r="I252" s="9">
        <v>0.35486111111111113</v>
      </c>
      <c r="J252" t="str">
        <f>VLOOKUP(E252,[1]!assessment[#Data],4,1)</f>
        <v>FROTA</v>
      </c>
    </row>
    <row r="253" spans="2:10" x14ac:dyDescent="0.3">
      <c r="B253" s="8">
        <v>46113</v>
      </c>
      <c r="C253">
        <v>205487</v>
      </c>
      <c r="D253" s="10" t="s">
        <v>114</v>
      </c>
      <c r="E253" t="s">
        <v>82</v>
      </c>
      <c r="F253" s="10" t="s">
        <v>16</v>
      </c>
      <c r="G253" s="10" t="s">
        <v>16</v>
      </c>
      <c r="H253" s="10" t="s">
        <v>117</v>
      </c>
      <c r="I253" s="9">
        <v>0.35486111111111113</v>
      </c>
      <c r="J253" t="str">
        <f>VLOOKUP(E253,[1]!assessment[#Data],4,1)</f>
        <v>FROTA</v>
      </c>
    </row>
    <row r="254" spans="2:10" x14ac:dyDescent="0.3">
      <c r="B254" s="8">
        <v>46113</v>
      </c>
      <c r="C254">
        <v>205487</v>
      </c>
      <c r="D254" s="10" t="s">
        <v>114</v>
      </c>
      <c r="E254" t="s">
        <v>83</v>
      </c>
      <c r="F254" s="10" t="s">
        <v>16</v>
      </c>
      <c r="G254" s="10" t="s">
        <v>16</v>
      </c>
      <c r="H254" s="10" t="s">
        <v>117</v>
      </c>
      <c r="I254" s="9">
        <v>0.35486111111111113</v>
      </c>
      <c r="J254" t="str">
        <f>VLOOKUP(E254,[1]!assessment[#Data],4,1)</f>
        <v>FROTA</v>
      </c>
    </row>
    <row r="255" spans="2:10" x14ac:dyDescent="0.3">
      <c r="B255" s="8">
        <v>46113</v>
      </c>
      <c r="C255">
        <v>205487</v>
      </c>
      <c r="D255" s="10" t="s">
        <v>114</v>
      </c>
      <c r="E255" t="s">
        <v>84</v>
      </c>
      <c r="F255" s="10" t="s">
        <v>16</v>
      </c>
      <c r="G255" s="10" t="s">
        <v>16</v>
      </c>
      <c r="H255" t="s">
        <v>115</v>
      </c>
      <c r="I255" s="9">
        <v>0.35486111111111113</v>
      </c>
      <c r="J255" t="str">
        <f>VLOOKUP(E255,[1]!assessment[#Data],4,1)</f>
        <v>RH</v>
      </c>
    </row>
    <row r="256" spans="2:10" x14ac:dyDescent="0.3">
      <c r="B256" s="8">
        <v>46113</v>
      </c>
      <c r="C256">
        <v>205487</v>
      </c>
      <c r="D256" s="10" t="s">
        <v>114</v>
      </c>
      <c r="E256" t="s">
        <v>85</v>
      </c>
      <c r="F256" s="10" t="s">
        <v>16</v>
      </c>
      <c r="G256" s="10" t="s">
        <v>16</v>
      </c>
      <c r="H256" t="s">
        <v>115</v>
      </c>
      <c r="I256" s="9">
        <v>0.35486111111111113</v>
      </c>
      <c r="J256" t="str">
        <f>VLOOKUP(E256,[1]!assessment[#Data],4,1)</f>
        <v>RH</v>
      </c>
    </row>
    <row r="257" spans="2:10" x14ac:dyDescent="0.3">
      <c r="B257" s="8">
        <v>46113</v>
      </c>
      <c r="C257">
        <v>205487</v>
      </c>
      <c r="D257" s="10" t="s">
        <v>114</v>
      </c>
      <c r="E257" t="s">
        <v>86</v>
      </c>
      <c r="F257" s="10" t="s">
        <v>16</v>
      </c>
      <c r="G257" s="10" t="s">
        <v>16</v>
      </c>
      <c r="H257" t="s">
        <v>115</v>
      </c>
      <c r="I257" s="9">
        <v>0.35486111111111113</v>
      </c>
      <c r="J257" t="str">
        <f>VLOOKUP(E257,[1]!assessment[#Data],4,1)</f>
        <v>RH</v>
      </c>
    </row>
    <row r="258" spans="2:10" x14ac:dyDescent="0.3">
      <c r="B258" s="8">
        <v>46113</v>
      </c>
      <c r="C258">
        <v>205487</v>
      </c>
      <c r="D258" s="10" t="s">
        <v>114</v>
      </c>
      <c r="E258" t="s">
        <v>87</v>
      </c>
      <c r="F258" s="10" t="s">
        <v>16</v>
      </c>
      <c r="G258" s="10" t="s">
        <v>16</v>
      </c>
      <c r="H258" t="s">
        <v>115</v>
      </c>
      <c r="I258" s="9">
        <v>0.35486111111111113</v>
      </c>
      <c r="J258" t="str">
        <f>VLOOKUP(E258,[1]!assessment[#Data],4,1)</f>
        <v>RH</v>
      </c>
    </row>
    <row r="259" spans="2:10" x14ac:dyDescent="0.3">
      <c r="B259" s="8">
        <v>46113</v>
      </c>
      <c r="C259">
        <v>205487</v>
      </c>
      <c r="D259" s="10" t="s">
        <v>114</v>
      </c>
      <c r="E259" t="s">
        <v>88</v>
      </c>
      <c r="F259" s="10" t="s">
        <v>16</v>
      </c>
      <c r="G259" s="10" t="s">
        <v>16</v>
      </c>
      <c r="H259" s="10" t="s">
        <v>116</v>
      </c>
      <c r="I259" s="9">
        <v>0.35486111111111113</v>
      </c>
      <c r="J259" t="str">
        <f>VLOOKUP(E259,[1]!assessment[#Data],4,1)</f>
        <v>RH</v>
      </c>
    </row>
    <row r="260" spans="2:10" x14ac:dyDescent="0.3">
      <c r="B260" s="8">
        <v>46113</v>
      </c>
      <c r="C260">
        <v>205487</v>
      </c>
      <c r="D260" s="10" t="s">
        <v>114</v>
      </c>
      <c r="E260" t="s">
        <v>89</v>
      </c>
      <c r="F260" s="10" t="s">
        <v>16</v>
      </c>
      <c r="G260" s="10" t="s">
        <v>16</v>
      </c>
      <c r="H260" t="s">
        <v>115</v>
      </c>
      <c r="I260" s="9">
        <v>0.35486111111111113</v>
      </c>
      <c r="J260" t="str">
        <f>VLOOKUP(E260,[1]!assessment[#Data],4,1)</f>
        <v>RH</v>
      </c>
    </row>
    <row r="261" spans="2:10" x14ac:dyDescent="0.3">
      <c r="B261" s="8">
        <v>46113</v>
      </c>
      <c r="C261">
        <v>205487</v>
      </c>
      <c r="D261" s="10" t="s">
        <v>114</v>
      </c>
      <c r="E261" t="s">
        <v>90</v>
      </c>
      <c r="F261" s="10" t="s">
        <v>16</v>
      </c>
      <c r="G261" s="10" t="s">
        <v>16</v>
      </c>
      <c r="H261" t="s">
        <v>115</v>
      </c>
      <c r="I261" s="9">
        <v>0.35486111111111113</v>
      </c>
      <c r="J261" t="str">
        <f>VLOOKUP(E261,[1]!assessment[#Data],4,1)</f>
        <v>RH</v>
      </c>
    </row>
    <row r="262" spans="2:10" x14ac:dyDescent="0.3">
      <c r="B262" s="8">
        <v>46113</v>
      </c>
      <c r="C262">
        <v>205487</v>
      </c>
      <c r="D262" s="10" t="s">
        <v>114</v>
      </c>
      <c r="E262" t="s">
        <v>91</v>
      </c>
      <c r="F262" t="s">
        <v>16</v>
      </c>
      <c r="G262" s="10" t="s">
        <v>16</v>
      </c>
      <c r="H262" t="s">
        <v>115</v>
      </c>
      <c r="I262" s="9">
        <v>0.35486111111111113</v>
      </c>
      <c r="J262" t="str">
        <f>VLOOKUP(E262,[1]!assessment[#Data],4,1)</f>
        <v>RH</v>
      </c>
    </row>
    <row r="263" spans="2:10" x14ac:dyDescent="0.3">
      <c r="B263" s="8">
        <v>46113</v>
      </c>
      <c r="C263">
        <v>205487</v>
      </c>
      <c r="D263" s="10" t="s">
        <v>114</v>
      </c>
      <c r="E263" t="s">
        <v>92</v>
      </c>
      <c r="F263" s="10" t="s">
        <v>16</v>
      </c>
      <c r="G263" s="10" t="s">
        <v>16</v>
      </c>
      <c r="H263" s="10" t="s">
        <v>116</v>
      </c>
      <c r="I263" s="9">
        <v>0.35486111111111113</v>
      </c>
      <c r="J263" t="str">
        <f>VLOOKUP(E263,[1]!assessment[#Data],4,1)</f>
        <v>SHE</v>
      </c>
    </row>
    <row r="264" spans="2:10" x14ac:dyDescent="0.3">
      <c r="B264" s="8">
        <v>46113</v>
      </c>
      <c r="C264">
        <v>205487</v>
      </c>
      <c r="D264" s="10" t="s">
        <v>114</v>
      </c>
      <c r="E264" t="s">
        <v>93</v>
      </c>
      <c r="F264" s="10" t="s">
        <v>16</v>
      </c>
      <c r="G264" s="10" t="s">
        <v>16</v>
      </c>
      <c r="H264" s="10" t="s">
        <v>116</v>
      </c>
      <c r="I264" s="9">
        <v>0.35486111111111113</v>
      </c>
      <c r="J264" t="str">
        <f>VLOOKUP(E264,[1]!assessment[#Data],4,1)</f>
        <v>SHE</v>
      </c>
    </row>
    <row r="265" spans="2:10" x14ac:dyDescent="0.3">
      <c r="B265" s="8">
        <v>46113</v>
      </c>
      <c r="C265">
        <v>205487</v>
      </c>
      <c r="D265" s="10" t="s">
        <v>114</v>
      </c>
      <c r="E265" t="s">
        <v>94</v>
      </c>
      <c r="F265" t="s">
        <v>16</v>
      </c>
      <c r="G265" s="10" t="s">
        <v>16</v>
      </c>
      <c r="H265" t="s">
        <v>115</v>
      </c>
      <c r="I265" s="9">
        <v>0.35486111111111113</v>
      </c>
      <c r="J265" t="str">
        <f>VLOOKUP(E265,[1]!assessment[#Data],4,1)</f>
        <v>SHE</v>
      </c>
    </row>
    <row r="266" spans="2:10" x14ac:dyDescent="0.3">
      <c r="B266" s="8">
        <v>46113</v>
      </c>
      <c r="C266">
        <v>205487</v>
      </c>
      <c r="D266" s="10" t="s">
        <v>114</v>
      </c>
      <c r="E266" t="s">
        <v>95</v>
      </c>
      <c r="F266" t="s">
        <v>16</v>
      </c>
      <c r="G266" s="10" t="s">
        <v>16</v>
      </c>
      <c r="H266" t="s">
        <v>115</v>
      </c>
      <c r="I266" s="9">
        <v>0.35486111111111113</v>
      </c>
      <c r="J266" t="str">
        <f>VLOOKUP(E266,[1]!assessment[#Data],4,1)</f>
        <v>SHE</v>
      </c>
    </row>
    <row r="267" spans="2:10" x14ac:dyDescent="0.3">
      <c r="B267" s="8">
        <v>46113</v>
      </c>
      <c r="C267">
        <v>205487</v>
      </c>
      <c r="D267" s="10" t="s">
        <v>114</v>
      </c>
      <c r="E267" t="s">
        <v>96</v>
      </c>
      <c r="F267" t="s">
        <v>16</v>
      </c>
      <c r="G267" s="10" t="s">
        <v>16</v>
      </c>
      <c r="H267" t="s">
        <v>115</v>
      </c>
      <c r="I267" s="9">
        <v>0.35486111111111113</v>
      </c>
      <c r="J267" t="str">
        <f>VLOOKUP(E267,[1]!assessment[#Data],4,1)</f>
        <v>SHE</v>
      </c>
    </row>
    <row r="268" spans="2:10" x14ac:dyDescent="0.3">
      <c r="B268" s="8">
        <v>46113</v>
      </c>
      <c r="C268">
        <v>205487</v>
      </c>
      <c r="D268" s="10" t="s">
        <v>114</v>
      </c>
      <c r="E268" t="s">
        <v>97</v>
      </c>
      <c r="F268" t="s">
        <v>16</v>
      </c>
      <c r="G268" s="10" t="s">
        <v>16</v>
      </c>
      <c r="H268" t="s">
        <v>115</v>
      </c>
      <c r="I268" s="9">
        <v>0.35486111111111113</v>
      </c>
      <c r="J268" t="str">
        <f>VLOOKUP(E268,[1]!assessment[#Data],4,1)</f>
        <v>SHE</v>
      </c>
    </row>
    <row r="269" spans="2:10" x14ac:dyDescent="0.3">
      <c r="B269" s="8">
        <v>46113</v>
      </c>
      <c r="C269">
        <v>205487</v>
      </c>
      <c r="D269" s="10" t="s">
        <v>114</v>
      </c>
      <c r="E269" t="s">
        <v>98</v>
      </c>
      <c r="F269" t="s">
        <v>16</v>
      </c>
      <c r="G269" s="10" t="s">
        <v>16</v>
      </c>
      <c r="H269" t="s">
        <v>115</v>
      </c>
      <c r="I269" s="9">
        <v>0.35486111111111113</v>
      </c>
      <c r="J269" t="str">
        <f>VLOOKUP(E269,[1]!assessment[#Data],4,1)</f>
        <v>SHE</v>
      </c>
    </row>
    <row r="270" spans="2:10" x14ac:dyDescent="0.3">
      <c r="B270" s="8">
        <v>46113</v>
      </c>
      <c r="C270">
        <v>205487</v>
      </c>
      <c r="D270" s="10" t="s">
        <v>114</v>
      </c>
      <c r="E270" t="s">
        <v>99</v>
      </c>
      <c r="F270" t="s">
        <v>16</v>
      </c>
      <c r="G270" s="10" t="s">
        <v>16</v>
      </c>
      <c r="H270" t="s">
        <v>115</v>
      </c>
      <c r="I270" s="9">
        <v>0.35486111111111113</v>
      </c>
      <c r="J270" t="str">
        <f>VLOOKUP(E270,[1]!assessment[#Data],4,1)</f>
        <v>SHE</v>
      </c>
    </row>
    <row r="271" spans="2:10" x14ac:dyDescent="0.3">
      <c r="B271" s="8">
        <v>46113</v>
      </c>
      <c r="C271">
        <v>205487</v>
      </c>
      <c r="D271" s="10" t="s">
        <v>114</v>
      </c>
      <c r="E271" t="s">
        <v>100</v>
      </c>
      <c r="F271" t="s">
        <v>16</v>
      </c>
      <c r="G271" s="10" t="s">
        <v>16</v>
      </c>
      <c r="H271" t="s">
        <v>115</v>
      </c>
      <c r="I271" s="9">
        <v>0.35486111111111113</v>
      </c>
      <c r="J271" t="str">
        <f>VLOOKUP(E271,[1]!assessment[#Data],4,1)</f>
        <v>SHE</v>
      </c>
    </row>
    <row r="272" spans="2:10" x14ac:dyDescent="0.3">
      <c r="B272" s="8">
        <v>46113</v>
      </c>
      <c r="C272">
        <v>205487</v>
      </c>
      <c r="D272" s="10" t="s">
        <v>114</v>
      </c>
      <c r="E272" t="s">
        <v>101</v>
      </c>
      <c r="F272" s="10" t="s">
        <v>16</v>
      </c>
      <c r="G272" s="10" t="s">
        <v>16</v>
      </c>
      <c r="H272" s="10" t="s">
        <v>116</v>
      </c>
      <c r="I272" s="9">
        <v>0.35486111111111113</v>
      </c>
      <c r="J272" t="str">
        <f>VLOOKUP(E272,[1]!assessment[#Data],4,1)</f>
        <v>SISTEMA OPERACIONAL</v>
      </c>
    </row>
    <row r="273" spans="1:10" x14ac:dyDescent="0.3">
      <c r="B273" s="8">
        <v>46113</v>
      </c>
      <c r="C273">
        <v>205487</v>
      </c>
      <c r="D273" s="10" t="s">
        <v>114</v>
      </c>
      <c r="E273" t="s">
        <v>102</v>
      </c>
      <c r="F273" s="10" t="s">
        <v>16</v>
      </c>
      <c r="G273" s="10" t="s">
        <v>16</v>
      </c>
      <c r="H273" s="10" t="s">
        <v>116</v>
      </c>
      <c r="I273" s="9">
        <v>0.35486111111111113</v>
      </c>
      <c r="J273" t="str">
        <f>VLOOKUP(E273,[1]!assessment[#Data],4,1)</f>
        <v>SISTEMA OPERACIONAL</v>
      </c>
    </row>
    <row r="274" spans="1:10" x14ac:dyDescent="0.3">
      <c r="B274" s="8">
        <v>46113</v>
      </c>
      <c r="C274">
        <v>205487</v>
      </c>
      <c r="D274" s="10" t="s">
        <v>114</v>
      </c>
      <c r="E274" t="s">
        <v>103</v>
      </c>
      <c r="F274" t="s">
        <v>13</v>
      </c>
      <c r="G274" s="10" t="s">
        <v>13</v>
      </c>
      <c r="I274" s="9">
        <v>0.35486111111111113</v>
      </c>
      <c r="J274" t="str">
        <f>VLOOKUP(E274,[1]!assessment[#Data],4,1)</f>
        <v>TRADE</v>
      </c>
    </row>
    <row r="275" spans="1:10" x14ac:dyDescent="0.3">
      <c r="B275" s="8">
        <v>46113</v>
      </c>
      <c r="C275">
        <v>205487</v>
      </c>
      <c r="D275" s="10" t="s">
        <v>114</v>
      </c>
      <c r="E275" t="s">
        <v>104</v>
      </c>
      <c r="F275" t="s">
        <v>13</v>
      </c>
      <c r="G275" s="10" t="s">
        <v>13</v>
      </c>
      <c r="I275" s="9">
        <v>0.35486111111111113</v>
      </c>
      <c r="J275" t="str">
        <f>VLOOKUP(E275,[1]!assessment[#Data],4,1)</f>
        <v>TRADE</v>
      </c>
    </row>
    <row r="276" spans="1:10" x14ac:dyDescent="0.3">
      <c r="B276" s="8">
        <v>46113</v>
      </c>
      <c r="C276">
        <v>205487</v>
      </c>
      <c r="D276" s="10" t="s">
        <v>114</v>
      </c>
      <c r="E276" t="s">
        <v>105</v>
      </c>
      <c r="F276" t="s">
        <v>13</v>
      </c>
      <c r="G276" s="10" t="s">
        <v>13</v>
      </c>
      <c r="I276" s="9">
        <v>0.35486111111111113</v>
      </c>
      <c r="J276" t="str">
        <f>VLOOKUP(E276,[1]!assessment[#Data],4,1)</f>
        <v>TRADE</v>
      </c>
    </row>
    <row r="277" spans="1:10" x14ac:dyDescent="0.3">
      <c r="B277" s="8">
        <v>46113</v>
      </c>
      <c r="C277">
        <v>205487</v>
      </c>
      <c r="D277" s="10" t="s">
        <v>114</v>
      </c>
      <c r="E277" t="s">
        <v>106</v>
      </c>
      <c r="F277" t="s">
        <v>13</v>
      </c>
      <c r="G277" s="10" t="s">
        <v>13</v>
      </c>
      <c r="I277" s="9">
        <v>0.35486111111111113</v>
      </c>
      <c r="J277" t="str">
        <f>VLOOKUP(E277,[1]!assessment[#Data],4,1)</f>
        <v>TRADE</v>
      </c>
    </row>
    <row r="278" spans="1:10" x14ac:dyDescent="0.3">
      <c r="B278" s="8">
        <v>46113</v>
      </c>
      <c r="C278">
        <v>205487</v>
      </c>
      <c r="D278" s="10" t="s">
        <v>114</v>
      </c>
      <c r="E278" t="s">
        <v>107</v>
      </c>
      <c r="F278" t="s">
        <v>13</v>
      </c>
      <c r="G278" s="10" t="s">
        <v>13</v>
      </c>
      <c r="I278" s="9">
        <v>0.35486111111111113</v>
      </c>
      <c r="J278" t="str">
        <f>VLOOKUP(E278,[1]!assessment[#Data],4,1)</f>
        <v>TRADE</v>
      </c>
    </row>
    <row r="279" spans="1:10" x14ac:dyDescent="0.3">
      <c r="B279" s="8">
        <v>46113</v>
      </c>
      <c r="C279">
        <v>205487</v>
      </c>
      <c r="D279" s="10" t="s">
        <v>114</v>
      </c>
      <c r="E279" t="s">
        <v>108</v>
      </c>
      <c r="F279" t="s">
        <v>13</v>
      </c>
      <c r="G279" s="10" t="s">
        <v>13</v>
      </c>
      <c r="I279" s="9">
        <v>0.35486111111111113</v>
      </c>
      <c r="J279" t="str">
        <f>VLOOKUP(E279,[1]!assessment[#Data],4,1)</f>
        <v>TRADE</v>
      </c>
    </row>
    <row r="280" spans="1:10" x14ac:dyDescent="0.3">
      <c r="B280" s="8">
        <v>46113</v>
      </c>
      <c r="C280">
        <v>205487</v>
      </c>
      <c r="D280" s="10" t="s">
        <v>114</v>
      </c>
      <c r="E280" t="s">
        <v>109</v>
      </c>
      <c r="F280" t="s">
        <v>13</v>
      </c>
      <c r="G280" s="10" t="s">
        <v>13</v>
      </c>
      <c r="I280" s="9">
        <v>0.35486111111111113</v>
      </c>
      <c r="J280" t="str">
        <f>VLOOKUP(E280,[1]!assessment[#Data],4,1)</f>
        <v>TRADE</v>
      </c>
    </row>
    <row r="281" spans="1:10" x14ac:dyDescent="0.3">
      <c r="A281" s="13"/>
      <c r="B281" s="8">
        <v>46113</v>
      </c>
      <c r="C281">
        <v>223704</v>
      </c>
      <c r="D281" s="10" t="s">
        <v>119</v>
      </c>
      <c r="E281" s="14" t="s">
        <v>12</v>
      </c>
      <c r="F281" t="s">
        <v>13</v>
      </c>
      <c r="G281" s="10" t="s">
        <v>13</v>
      </c>
      <c r="I281" s="9">
        <v>0.3611111111111111</v>
      </c>
      <c r="J281" t="str">
        <f>VLOOKUP(E281,[1]!assessment[#Data],4,1)</f>
        <v>ADMINISTRATIVO</v>
      </c>
    </row>
    <row r="282" spans="1:10" x14ac:dyDescent="0.3">
      <c r="B282" s="8">
        <v>46113</v>
      </c>
      <c r="C282">
        <v>223704</v>
      </c>
      <c r="D282" s="10" t="s">
        <v>119</v>
      </c>
      <c r="E282" s="14" t="s">
        <v>14</v>
      </c>
      <c r="F282" t="s">
        <v>13</v>
      </c>
      <c r="G282" s="10" t="s">
        <v>13</v>
      </c>
      <c r="I282" s="9">
        <v>0.3611111111111111</v>
      </c>
      <c r="J282" t="str">
        <f>VLOOKUP(E282,[1]!assessment[#Data],4,1)</f>
        <v>ADMINISTRATIVO</v>
      </c>
    </row>
    <row r="283" spans="1:10" x14ac:dyDescent="0.3">
      <c r="B283" s="8">
        <v>46113</v>
      </c>
      <c r="C283">
        <v>223704</v>
      </c>
      <c r="D283" s="10" t="s">
        <v>119</v>
      </c>
      <c r="E283" s="14" t="s">
        <v>15</v>
      </c>
      <c r="F283" t="s">
        <v>13</v>
      </c>
      <c r="G283" s="10" t="s">
        <v>13</v>
      </c>
      <c r="I283" s="9">
        <v>0.3611111111111111</v>
      </c>
      <c r="J283" t="str">
        <f>VLOOKUP(E283,[1]!assessment[#Data],4,1)</f>
        <v>ADMINISTRATIVO</v>
      </c>
    </row>
    <row r="284" spans="1:10" x14ac:dyDescent="0.3">
      <c r="B284" s="8">
        <v>46113</v>
      </c>
      <c r="C284">
        <v>223704</v>
      </c>
      <c r="D284" s="10" t="s">
        <v>119</v>
      </c>
      <c r="E284" s="14" t="s">
        <v>18</v>
      </c>
      <c r="F284" t="s">
        <v>13</v>
      </c>
      <c r="G284" s="10" t="s">
        <v>13</v>
      </c>
      <c r="I284" s="9">
        <v>0.3611111111111111</v>
      </c>
      <c r="J284" t="str">
        <f>VLOOKUP(E284,[1]!assessment[#Data],4,1)</f>
        <v>ADMINISTRATIVO</v>
      </c>
    </row>
    <row r="285" spans="1:10" x14ac:dyDescent="0.3">
      <c r="B285" s="8">
        <v>46113</v>
      </c>
      <c r="C285">
        <v>223704</v>
      </c>
      <c r="D285" s="10" t="s">
        <v>119</v>
      </c>
      <c r="E285" s="14" t="s">
        <v>19</v>
      </c>
      <c r="F285" t="s">
        <v>13</v>
      </c>
      <c r="G285" s="10" t="s">
        <v>13</v>
      </c>
      <c r="I285" s="9">
        <v>0.3611111111111111</v>
      </c>
      <c r="J285" t="str">
        <f>VLOOKUP(E285,[1]!assessment[#Data],4,1)</f>
        <v>ADMINISTRATIVO</v>
      </c>
    </row>
    <row r="286" spans="1:10" x14ac:dyDescent="0.3">
      <c r="B286" s="8">
        <v>46113</v>
      </c>
      <c r="C286">
        <v>223704</v>
      </c>
      <c r="D286" s="10" t="s">
        <v>119</v>
      </c>
      <c r="E286" s="14" t="s">
        <v>20</v>
      </c>
      <c r="F286" t="s">
        <v>13</v>
      </c>
      <c r="G286" s="10" t="s">
        <v>13</v>
      </c>
      <c r="I286" s="9">
        <v>0.3611111111111111</v>
      </c>
      <c r="J286" t="str">
        <f>VLOOKUP(E286,[1]!assessment[#Data],4,1)</f>
        <v>ADMINISTRATIVO</v>
      </c>
    </row>
    <row r="287" spans="1:10" x14ac:dyDescent="0.3">
      <c r="B287" s="8">
        <v>46113</v>
      </c>
      <c r="C287">
        <v>223704</v>
      </c>
      <c r="D287" s="10" t="s">
        <v>119</v>
      </c>
      <c r="E287" s="14" t="s">
        <v>21</v>
      </c>
      <c r="F287" t="s">
        <v>13</v>
      </c>
      <c r="G287" s="10" t="s">
        <v>13</v>
      </c>
      <c r="I287" s="9">
        <v>0.3611111111111111</v>
      </c>
      <c r="J287" t="str">
        <f>VLOOKUP(E287,[1]!assessment[#Data],4,1)</f>
        <v>ADMINISTRATIVO</v>
      </c>
    </row>
    <row r="288" spans="1:10" x14ac:dyDescent="0.3">
      <c r="B288" s="8">
        <v>46113</v>
      </c>
      <c r="C288">
        <v>223704</v>
      </c>
      <c r="D288" s="10" t="s">
        <v>119</v>
      </c>
      <c r="E288" s="14" t="s">
        <v>23</v>
      </c>
      <c r="F288" t="s">
        <v>13</v>
      </c>
      <c r="G288" s="10" t="s">
        <v>13</v>
      </c>
      <c r="I288" s="9">
        <v>0.3611111111111111</v>
      </c>
      <c r="J288" t="str">
        <f>VLOOKUP(E288,[1]!assessment[#Data],4,1)</f>
        <v>ADMINISTRATIVO</v>
      </c>
    </row>
    <row r="289" spans="2:10" x14ac:dyDescent="0.3">
      <c r="B289" s="8">
        <v>46113</v>
      </c>
      <c r="C289">
        <v>223704</v>
      </c>
      <c r="D289" s="10" t="s">
        <v>119</v>
      </c>
      <c r="E289" s="14" t="s">
        <v>24</v>
      </c>
      <c r="F289" t="s">
        <v>13</v>
      </c>
      <c r="G289" s="10" t="s">
        <v>13</v>
      </c>
      <c r="I289" s="9">
        <v>0.3611111111111111</v>
      </c>
      <c r="J289" t="str">
        <f>VLOOKUP(E289,[1]!assessment[#Data],4,1)</f>
        <v>ADMINISTRATIVO</v>
      </c>
    </row>
    <row r="290" spans="2:10" x14ac:dyDescent="0.3">
      <c r="B290" s="8">
        <v>46113</v>
      </c>
      <c r="C290">
        <v>223704</v>
      </c>
      <c r="D290" s="10" t="s">
        <v>119</v>
      </c>
      <c r="E290" s="14" t="s">
        <v>25</v>
      </c>
      <c r="F290" t="s">
        <v>13</v>
      </c>
      <c r="G290" s="10" t="s">
        <v>13</v>
      </c>
      <c r="I290" s="9">
        <v>0.3611111111111111</v>
      </c>
      <c r="J290" t="str">
        <f>VLOOKUP(E290,[1]!assessment[#Data],4,1)</f>
        <v>ADMINISTRATIVO</v>
      </c>
    </row>
    <row r="291" spans="2:10" x14ac:dyDescent="0.3">
      <c r="B291" s="8">
        <v>46113</v>
      </c>
      <c r="C291">
        <v>223704</v>
      </c>
      <c r="D291" s="10" t="s">
        <v>119</v>
      </c>
      <c r="E291" s="14" t="s">
        <v>26</v>
      </c>
      <c r="F291" t="s">
        <v>13</v>
      </c>
      <c r="G291" s="10" t="s">
        <v>13</v>
      </c>
      <c r="I291" s="9">
        <v>0.3611111111111111</v>
      </c>
      <c r="J291" t="str">
        <f>VLOOKUP(E291,[1]!assessment[#Data],4,1)</f>
        <v>ADMINISTRATIVO</v>
      </c>
    </row>
    <row r="292" spans="2:10" x14ac:dyDescent="0.3">
      <c r="B292" s="8">
        <v>46113</v>
      </c>
      <c r="C292">
        <v>223704</v>
      </c>
      <c r="D292" s="10" t="s">
        <v>119</v>
      </c>
      <c r="E292" s="14" t="s">
        <v>27</v>
      </c>
      <c r="F292" t="s">
        <v>13</v>
      </c>
      <c r="G292" s="10" t="s">
        <v>13</v>
      </c>
      <c r="I292" s="9">
        <v>0.3611111111111111</v>
      </c>
      <c r="J292" t="str">
        <f>VLOOKUP(E292,[1]!assessment[#Data],4,1)</f>
        <v>ARMAZÉM</v>
      </c>
    </row>
    <row r="293" spans="2:10" x14ac:dyDescent="0.3">
      <c r="B293" s="8">
        <v>46113</v>
      </c>
      <c r="C293">
        <v>223704</v>
      </c>
      <c r="D293" s="10" t="s">
        <v>119</v>
      </c>
      <c r="E293" s="14" t="s">
        <v>28</v>
      </c>
      <c r="F293" t="s">
        <v>13</v>
      </c>
      <c r="G293" s="10" t="s">
        <v>13</v>
      </c>
      <c r="I293" s="9">
        <v>0.3611111111111111</v>
      </c>
      <c r="J293" t="str">
        <f>VLOOKUP(E293,[1]!assessment[#Data],4,1)</f>
        <v>ARMAZÉM</v>
      </c>
    </row>
    <row r="294" spans="2:10" x14ac:dyDescent="0.3">
      <c r="B294" s="8">
        <v>46113</v>
      </c>
      <c r="C294">
        <v>223704</v>
      </c>
      <c r="D294" s="10" t="s">
        <v>119</v>
      </c>
      <c r="E294" s="14" t="s">
        <v>29</v>
      </c>
      <c r="F294" t="s">
        <v>13</v>
      </c>
      <c r="G294" s="10" t="s">
        <v>13</v>
      </c>
      <c r="I294" s="9">
        <v>0.3611111111111111</v>
      </c>
      <c r="J294" t="str">
        <f>VLOOKUP(E294,[1]!assessment[#Data],4,1)</f>
        <v>ARMAZÉM</v>
      </c>
    </row>
    <row r="295" spans="2:10" x14ac:dyDescent="0.3">
      <c r="B295" s="8">
        <v>46113</v>
      </c>
      <c r="C295">
        <v>223704</v>
      </c>
      <c r="D295" s="10" t="s">
        <v>119</v>
      </c>
      <c r="E295" s="14" t="s">
        <v>30</v>
      </c>
      <c r="F295" t="s">
        <v>13</v>
      </c>
      <c r="G295" s="10" t="s">
        <v>13</v>
      </c>
      <c r="I295" s="9">
        <v>0.3611111111111111</v>
      </c>
      <c r="J295" t="str">
        <f>VLOOKUP(E295,[1]!assessment[#Data],4,1)</f>
        <v>ARMAZÉM</v>
      </c>
    </row>
    <row r="296" spans="2:10" x14ac:dyDescent="0.3">
      <c r="B296" s="8">
        <v>46113</v>
      </c>
      <c r="C296">
        <v>223704</v>
      </c>
      <c r="D296" s="10" t="s">
        <v>119</v>
      </c>
      <c r="E296" s="14" t="s">
        <v>31</v>
      </c>
      <c r="F296" t="s">
        <v>13</v>
      </c>
      <c r="G296" s="10" t="s">
        <v>13</v>
      </c>
      <c r="I296" s="9">
        <v>0.3611111111111111</v>
      </c>
      <c r="J296" t="str">
        <f>VLOOKUP(E296,[1]!assessment[#Data],4,1)</f>
        <v>ARMAZÉM</v>
      </c>
    </row>
    <row r="297" spans="2:10" x14ac:dyDescent="0.3">
      <c r="B297" s="8">
        <v>46113</v>
      </c>
      <c r="C297">
        <v>223704</v>
      </c>
      <c r="D297" s="10" t="s">
        <v>119</v>
      </c>
      <c r="E297" s="14" t="s">
        <v>32</v>
      </c>
      <c r="F297" t="s">
        <v>13</v>
      </c>
      <c r="G297" s="10" t="s">
        <v>13</v>
      </c>
      <c r="I297" s="9">
        <v>0.3611111111111111</v>
      </c>
      <c r="J297" t="str">
        <f>VLOOKUP(E297,[1]!assessment[#Data],4,1)</f>
        <v>ARMAZÉM</v>
      </c>
    </row>
    <row r="298" spans="2:10" x14ac:dyDescent="0.3">
      <c r="B298" s="8">
        <v>46113</v>
      </c>
      <c r="C298">
        <v>223704</v>
      </c>
      <c r="D298" s="10" t="s">
        <v>119</v>
      </c>
      <c r="E298" s="14" t="s">
        <v>33</v>
      </c>
      <c r="F298" t="s">
        <v>13</v>
      </c>
      <c r="G298" s="10" t="s">
        <v>13</v>
      </c>
      <c r="I298" s="9">
        <v>0.3611111111111111</v>
      </c>
      <c r="J298" t="str">
        <f>VLOOKUP(E298,[1]!assessment[#Data],4,1)</f>
        <v>ARMAZÉM</v>
      </c>
    </row>
    <row r="299" spans="2:10" x14ac:dyDescent="0.3">
      <c r="B299" s="8">
        <v>46113</v>
      </c>
      <c r="C299">
        <v>223704</v>
      </c>
      <c r="D299" s="10" t="s">
        <v>119</v>
      </c>
      <c r="E299" s="14" t="s">
        <v>34</v>
      </c>
      <c r="F299" t="s">
        <v>13</v>
      </c>
      <c r="G299" s="10" t="s">
        <v>13</v>
      </c>
      <c r="I299" s="9">
        <v>0.3611111111111111</v>
      </c>
      <c r="J299" t="str">
        <f>VLOOKUP(E299,[1]!assessment[#Data],4,1)</f>
        <v>ARMAZÉM</v>
      </c>
    </row>
    <row r="300" spans="2:10" x14ac:dyDescent="0.3">
      <c r="B300" s="8">
        <v>46113</v>
      </c>
      <c r="C300">
        <v>223704</v>
      </c>
      <c r="D300" s="10" t="s">
        <v>119</v>
      </c>
      <c r="E300" s="14" t="s">
        <v>35</v>
      </c>
      <c r="F300" t="s">
        <v>13</v>
      </c>
      <c r="G300" s="10" t="s">
        <v>13</v>
      </c>
      <c r="I300" s="9">
        <v>0.3611111111111111</v>
      </c>
      <c r="J300" t="str">
        <f>VLOOKUP(E300,[1]!assessment[#Data],4,1)</f>
        <v>ARMAZÉM</v>
      </c>
    </row>
    <row r="301" spans="2:10" x14ac:dyDescent="0.3">
      <c r="B301" s="8">
        <v>46113</v>
      </c>
      <c r="C301">
        <v>223704</v>
      </c>
      <c r="D301" s="10" t="s">
        <v>119</v>
      </c>
      <c r="E301" s="14" t="s">
        <v>36</v>
      </c>
      <c r="F301" t="s">
        <v>13</v>
      </c>
      <c r="G301" s="10" t="s">
        <v>13</v>
      </c>
      <c r="I301" s="9">
        <v>0.3611111111111111</v>
      </c>
      <c r="J301" t="str">
        <f>VLOOKUP(E301,[1]!assessment[#Data],4,1)</f>
        <v>ARMAZÉM</v>
      </c>
    </row>
    <row r="302" spans="2:10" x14ac:dyDescent="0.3">
      <c r="B302" s="8">
        <v>46113</v>
      </c>
      <c r="C302">
        <v>223704</v>
      </c>
      <c r="D302" s="10" t="s">
        <v>119</v>
      </c>
      <c r="E302" s="14" t="s">
        <v>37</v>
      </c>
      <c r="F302" t="s">
        <v>13</v>
      </c>
      <c r="G302" s="10" t="s">
        <v>13</v>
      </c>
      <c r="I302" s="9">
        <v>0.3611111111111111</v>
      </c>
      <c r="J302" t="str">
        <f>VLOOKUP(E302,[1]!assessment[#Data],4,1)</f>
        <v>COMODATO</v>
      </c>
    </row>
    <row r="303" spans="2:10" x14ac:dyDescent="0.3">
      <c r="B303" s="8">
        <v>46113</v>
      </c>
      <c r="C303">
        <v>223704</v>
      </c>
      <c r="D303" s="10" t="s">
        <v>119</v>
      </c>
      <c r="E303" s="14" t="s">
        <v>38</v>
      </c>
      <c r="F303" t="s">
        <v>13</v>
      </c>
      <c r="G303" s="10" t="s">
        <v>13</v>
      </c>
      <c r="I303" s="9">
        <v>0.3611111111111111</v>
      </c>
      <c r="J303" t="str">
        <f>VLOOKUP(E303,[1]!assessment[#Data],4,1)</f>
        <v>COMODATO</v>
      </c>
    </row>
    <row r="304" spans="2:10" x14ac:dyDescent="0.3">
      <c r="B304" s="8">
        <v>46113</v>
      </c>
      <c r="C304">
        <v>223704</v>
      </c>
      <c r="D304" s="10" t="s">
        <v>119</v>
      </c>
      <c r="E304" s="14" t="s">
        <v>39</v>
      </c>
      <c r="F304" t="s">
        <v>13</v>
      </c>
      <c r="G304" s="10" t="s">
        <v>13</v>
      </c>
      <c r="I304" s="9">
        <v>0.3611111111111111</v>
      </c>
      <c r="J304" t="str">
        <f>VLOOKUP(E304,[1]!assessment[#Data],4,1)</f>
        <v>COMODATO</v>
      </c>
    </row>
    <row r="305" spans="2:10" x14ac:dyDescent="0.3">
      <c r="B305" s="8">
        <v>46113</v>
      </c>
      <c r="C305">
        <v>223704</v>
      </c>
      <c r="D305" s="10" t="s">
        <v>119</v>
      </c>
      <c r="E305" s="14" t="s">
        <v>40</v>
      </c>
      <c r="F305" t="s">
        <v>13</v>
      </c>
      <c r="G305" s="10" t="s">
        <v>13</v>
      </c>
      <c r="I305" s="9">
        <v>0.3611111111111111</v>
      </c>
      <c r="J305" t="str">
        <f>VLOOKUP(E305,[1]!assessment[#Data],4,1)</f>
        <v>COMERCIAL</v>
      </c>
    </row>
    <row r="306" spans="2:10" x14ac:dyDescent="0.3">
      <c r="B306" s="8">
        <v>46113</v>
      </c>
      <c r="C306">
        <v>223704</v>
      </c>
      <c r="D306" s="10" t="s">
        <v>119</v>
      </c>
      <c r="E306" s="14" t="s">
        <v>42</v>
      </c>
      <c r="F306" t="s">
        <v>13</v>
      </c>
      <c r="G306" s="10" t="s">
        <v>13</v>
      </c>
      <c r="I306" s="9">
        <v>0.3611111111111111</v>
      </c>
      <c r="J306" t="str">
        <f>VLOOKUP(E306,[1]!assessment[#Data],4,1)</f>
        <v>COMERCIAL</v>
      </c>
    </row>
    <row r="307" spans="2:10" x14ac:dyDescent="0.3">
      <c r="B307" s="8">
        <v>46113</v>
      </c>
      <c r="C307">
        <v>223704</v>
      </c>
      <c r="D307" s="10" t="s">
        <v>119</v>
      </c>
      <c r="E307" s="14" t="s">
        <v>43</v>
      </c>
      <c r="F307" t="s">
        <v>13</v>
      </c>
      <c r="G307" s="10" t="s">
        <v>13</v>
      </c>
      <c r="I307" s="9">
        <v>0.3611111111111111</v>
      </c>
      <c r="J307" t="str">
        <f>VLOOKUP(E307,[1]!assessment[#Data],4,1)</f>
        <v>COMERCIAL</v>
      </c>
    </row>
    <row r="308" spans="2:10" x14ac:dyDescent="0.3">
      <c r="B308" s="8">
        <v>46113</v>
      </c>
      <c r="C308">
        <v>223704</v>
      </c>
      <c r="D308" s="10" t="s">
        <v>119</v>
      </c>
      <c r="E308" s="14" t="s">
        <v>45</v>
      </c>
      <c r="F308" t="s">
        <v>13</v>
      </c>
      <c r="G308" s="10" t="s">
        <v>13</v>
      </c>
      <c r="I308" s="9">
        <v>0.3611111111111111</v>
      </c>
      <c r="J308" t="str">
        <f>VLOOKUP(E308,[1]!assessment[#Data],4,1)</f>
        <v>COMERCIAL</v>
      </c>
    </row>
    <row r="309" spans="2:10" x14ac:dyDescent="0.3">
      <c r="B309" s="8">
        <v>46113</v>
      </c>
      <c r="C309">
        <v>223704</v>
      </c>
      <c r="D309" s="10" t="s">
        <v>119</v>
      </c>
      <c r="E309" s="14" t="s">
        <v>46</v>
      </c>
      <c r="F309" t="s">
        <v>13</v>
      </c>
      <c r="G309" s="10" t="s">
        <v>13</v>
      </c>
      <c r="I309" s="9">
        <v>0.3611111111111111</v>
      </c>
      <c r="J309" t="str">
        <f>VLOOKUP(E309,[1]!assessment[#Data],4,1)</f>
        <v>COMERCIAL</v>
      </c>
    </row>
    <row r="310" spans="2:10" x14ac:dyDescent="0.3">
      <c r="B310" s="8">
        <v>46113</v>
      </c>
      <c r="C310">
        <v>223704</v>
      </c>
      <c r="D310" s="10" t="s">
        <v>119</v>
      </c>
      <c r="E310" s="14" t="s">
        <v>47</v>
      </c>
      <c r="F310" t="s">
        <v>13</v>
      </c>
      <c r="G310" s="10" t="s">
        <v>13</v>
      </c>
      <c r="I310" s="9">
        <v>0.3611111111111111</v>
      </c>
      <c r="J310" t="str">
        <f>VLOOKUP(E310,[1]!assessment[#Data],4,1)</f>
        <v>COMERCIAL</v>
      </c>
    </row>
    <row r="311" spans="2:10" x14ac:dyDescent="0.3">
      <c r="B311" s="8">
        <v>46113</v>
      </c>
      <c r="C311">
        <v>223704</v>
      </c>
      <c r="D311" s="10" t="s">
        <v>119</v>
      </c>
      <c r="E311" s="14" t="s">
        <v>48</v>
      </c>
      <c r="F311" t="s">
        <v>13</v>
      </c>
      <c r="G311" s="10" t="s">
        <v>13</v>
      </c>
      <c r="I311" s="9">
        <v>0.3611111111111111</v>
      </c>
      <c r="J311" t="str">
        <f>VLOOKUP(E311,[1]!assessment[#Data],4,1)</f>
        <v>COMERCIAL</v>
      </c>
    </row>
    <row r="312" spans="2:10" x14ac:dyDescent="0.3">
      <c r="B312" s="8">
        <v>46113</v>
      </c>
      <c r="C312">
        <v>223704</v>
      </c>
      <c r="D312" s="10" t="s">
        <v>119</v>
      </c>
      <c r="E312" s="14" t="s">
        <v>49</v>
      </c>
      <c r="F312" s="10" t="s">
        <v>16</v>
      </c>
      <c r="G312" s="10" t="s">
        <v>16</v>
      </c>
      <c r="H312" s="10" t="s">
        <v>120</v>
      </c>
      <c r="I312" s="9">
        <v>0.3611111111111111</v>
      </c>
      <c r="J312" t="str">
        <f>VLOOKUP(E312,[1]!assessment[#Data],4,1)</f>
        <v>COMERCIAL</v>
      </c>
    </row>
    <row r="313" spans="2:10" x14ac:dyDescent="0.3">
      <c r="B313" s="8">
        <v>46113</v>
      </c>
      <c r="C313">
        <v>223704</v>
      </c>
      <c r="D313" s="10" t="s">
        <v>119</v>
      </c>
      <c r="E313" s="14" t="s">
        <v>50</v>
      </c>
      <c r="F313" t="s">
        <v>13</v>
      </c>
      <c r="G313" s="10" t="s">
        <v>13</v>
      </c>
      <c r="I313" s="9">
        <v>0.3611111111111111</v>
      </c>
      <c r="J313" t="str">
        <f>VLOOKUP(E313,[1]!assessment[#Data],4,1)</f>
        <v>COMERCIAL</v>
      </c>
    </row>
    <row r="314" spans="2:10" x14ac:dyDescent="0.3">
      <c r="B314" s="8">
        <v>46113</v>
      </c>
      <c r="C314">
        <v>223704</v>
      </c>
      <c r="D314" s="10" t="s">
        <v>119</v>
      </c>
      <c r="E314" s="14" t="s">
        <v>51</v>
      </c>
      <c r="F314" s="10" t="s">
        <v>16</v>
      </c>
      <c r="G314" s="10" t="s">
        <v>16</v>
      </c>
      <c r="H314" s="10" t="s">
        <v>120</v>
      </c>
      <c r="I314" s="9">
        <v>0.3611111111111111</v>
      </c>
      <c r="J314" t="str">
        <f>VLOOKUP(E314,[1]!assessment[#Data],4,1)</f>
        <v>COMERCIAL</v>
      </c>
    </row>
    <row r="315" spans="2:10" x14ac:dyDescent="0.3">
      <c r="B315" s="8">
        <v>46113</v>
      </c>
      <c r="C315">
        <v>223704</v>
      </c>
      <c r="D315" s="10" t="s">
        <v>119</v>
      </c>
      <c r="E315" s="14" t="s">
        <v>52</v>
      </c>
      <c r="F315" t="s">
        <v>13</v>
      </c>
      <c r="G315" s="10" t="s">
        <v>13</v>
      </c>
      <c r="I315" s="9">
        <v>0.3611111111111111</v>
      </c>
      <c r="J315" t="str">
        <f>VLOOKUP(E315,[1]!assessment[#Data],4,1)</f>
        <v>COMERCIAL</v>
      </c>
    </row>
    <row r="316" spans="2:10" x14ac:dyDescent="0.3">
      <c r="B316" s="8">
        <v>46113</v>
      </c>
      <c r="C316">
        <v>223704</v>
      </c>
      <c r="D316" s="10" t="s">
        <v>119</v>
      </c>
      <c r="E316" s="14" t="s">
        <v>53</v>
      </c>
      <c r="F316" t="s">
        <v>13</v>
      </c>
      <c r="G316" s="10" t="s">
        <v>13</v>
      </c>
      <c r="I316" s="9">
        <v>0.3611111111111111</v>
      </c>
      <c r="J316" t="str">
        <f>VLOOKUP(E316,[1]!assessment[#Data],4,1)</f>
        <v>COMERCIAL</v>
      </c>
    </row>
    <row r="317" spans="2:10" x14ac:dyDescent="0.3">
      <c r="B317" s="8">
        <v>46113</v>
      </c>
      <c r="C317">
        <v>223704</v>
      </c>
      <c r="D317" s="10" t="s">
        <v>119</v>
      </c>
      <c r="E317" s="14" t="s">
        <v>54</v>
      </c>
      <c r="F317" t="s">
        <v>13</v>
      </c>
      <c r="G317" s="10" t="s">
        <v>13</v>
      </c>
      <c r="I317" s="9">
        <v>0.3611111111111111</v>
      </c>
      <c r="J317" t="str">
        <f>VLOOKUP(E317,[1]!assessment[#Data],4,1)</f>
        <v>COMERCIAL</v>
      </c>
    </row>
    <row r="318" spans="2:10" x14ac:dyDescent="0.3">
      <c r="B318" s="8">
        <v>46113</v>
      </c>
      <c r="C318">
        <v>223704</v>
      </c>
      <c r="D318" s="10" t="s">
        <v>119</v>
      </c>
      <c r="E318" s="14" t="s">
        <v>55</v>
      </c>
      <c r="F318" t="s">
        <v>13</v>
      </c>
      <c r="G318" s="10" t="s">
        <v>13</v>
      </c>
      <c r="I318" s="9">
        <v>0.3611111111111111</v>
      </c>
      <c r="J318" t="str">
        <f>VLOOKUP(E318,[1]!assessment[#Data],4,1)</f>
        <v>COMERCIAL</v>
      </c>
    </row>
    <row r="319" spans="2:10" x14ac:dyDescent="0.3">
      <c r="B319" s="8">
        <v>46113</v>
      </c>
      <c r="C319">
        <v>223704</v>
      </c>
      <c r="D319" s="10" t="s">
        <v>119</v>
      </c>
      <c r="E319" s="14" t="s">
        <v>56</v>
      </c>
      <c r="F319" t="s">
        <v>13</v>
      </c>
      <c r="G319" s="10" t="s">
        <v>13</v>
      </c>
      <c r="I319" s="9">
        <v>0.3611111111111111</v>
      </c>
      <c r="J319" t="str">
        <f>VLOOKUP(E319,[1]!assessment[#Data],4,1)</f>
        <v>COMERCIAL</v>
      </c>
    </row>
    <row r="320" spans="2:10" x14ac:dyDescent="0.3">
      <c r="B320" s="8">
        <v>46113</v>
      </c>
      <c r="C320">
        <v>223704</v>
      </c>
      <c r="D320" s="10" t="s">
        <v>119</v>
      </c>
      <c r="E320" s="14" t="s">
        <v>57</v>
      </c>
      <c r="F320" t="s">
        <v>13</v>
      </c>
      <c r="G320" s="10" t="s">
        <v>13</v>
      </c>
      <c r="I320" s="9">
        <v>0.3611111111111111</v>
      </c>
      <c r="J320" t="str">
        <f>VLOOKUP(E320,[1]!assessment[#Data],4,1)</f>
        <v>COMERCIAL</v>
      </c>
    </row>
    <row r="321" spans="2:10" x14ac:dyDescent="0.3">
      <c r="B321" s="8">
        <v>46113</v>
      </c>
      <c r="C321">
        <v>223704</v>
      </c>
      <c r="D321" s="10" t="s">
        <v>119</v>
      </c>
      <c r="E321" s="14" t="s">
        <v>58</v>
      </c>
      <c r="F321" t="s">
        <v>13</v>
      </c>
      <c r="G321" s="10" t="s">
        <v>13</v>
      </c>
      <c r="I321" s="9">
        <v>0.3611111111111111</v>
      </c>
      <c r="J321" t="str">
        <f>VLOOKUP(E321,[1]!assessment[#Data],4,1)</f>
        <v>COMERCIAL</v>
      </c>
    </row>
    <row r="322" spans="2:10" x14ac:dyDescent="0.3">
      <c r="B322" s="8">
        <v>46113</v>
      </c>
      <c r="C322">
        <v>223704</v>
      </c>
      <c r="D322" s="10" t="s">
        <v>119</v>
      </c>
      <c r="E322" s="14" t="s">
        <v>59</v>
      </c>
      <c r="F322" t="s">
        <v>13</v>
      </c>
      <c r="G322" s="10" t="s">
        <v>13</v>
      </c>
      <c r="I322" s="9">
        <v>0.3611111111111111</v>
      </c>
      <c r="J322" t="str">
        <f>VLOOKUP(E322,[1]!assessment[#Data],4,1)</f>
        <v>COMERCIAL</v>
      </c>
    </row>
    <row r="323" spans="2:10" x14ac:dyDescent="0.3">
      <c r="B323" s="8">
        <v>46113</v>
      </c>
      <c r="C323">
        <v>223704</v>
      </c>
      <c r="D323" s="10" t="s">
        <v>119</v>
      </c>
      <c r="E323" s="14" t="s">
        <v>60</v>
      </c>
      <c r="F323" t="s">
        <v>13</v>
      </c>
      <c r="G323" s="10" t="s">
        <v>13</v>
      </c>
      <c r="I323" s="9">
        <v>0.3611111111111111</v>
      </c>
      <c r="J323" t="str">
        <f>VLOOKUP(E323,[1]!assessment[#Data],4,1)</f>
        <v>COMERCIAL</v>
      </c>
    </row>
    <row r="324" spans="2:10" x14ac:dyDescent="0.3">
      <c r="B324" s="8">
        <v>46113</v>
      </c>
      <c r="C324">
        <v>223704</v>
      </c>
      <c r="D324" s="10" t="s">
        <v>119</v>
      </c>
      <c r="E324" s="14" t="s">
        <v>61</v>
      </c>
      <c r="F324" t="s">
        <v>13</v>
      </c>
      <c r="G324" s="10" t="s">
        <v>13</v>
      </c>
      <c r="I324" s="9">
        <v>0.3611111111111111</v>
      </c>
      <c r="J324" t="str">
        <f>VLOOKUP(E324,[1]!assessment[#Data],4,1)</f>
        <v>COMERCIAL</v>
      </c>
    </row>
    <row r="325" spans="2:10" x14ac:dyDescent="0.3">
      <c r="B325" s="8">
        <v>46113</v>
      </c>
      <c r="C325">
        <v>223704</v>
      </c>
      <c r="D325" s="10" t="s">
        <v>119</v>
      </c>
      <c r="E325" s="14" t="s">
        <v>62</v>
      </c>
      <c r="F325" t="s">
        <v>13</v>
      </c>
      <c r="G325" s="10" t="s">
        <v>13</v>
      </c>
      <c r="I325" s="9">
        <v>0.3611111111111111</v>
      </c>
      <c r="J325" t="str">
        <f>VLOOKUP(E325,[1]!assessment[#Data],4,1)</f>
        <v>COMERCIAL</v>
      </c>
    </row>
    <row r="326" spans="2:10" x14ac:dyDescent="0.3">
      <c r="B326" s="8">
        <v>46113</v>
      </c>
      <c r="C326">
        <v>223704</v>
      </c>
      <c r="D326" s="10" t="s">
        <v>119</v>
      </c>
      <c r="E326" s="14" t="s">
        <v>63</v>
      </c>
      <c r="F326" t="s">
        <v>13</v>
      </c>
      <c r="G326" s="10" t="s">
        <v>13</v>
      </c>
      <c r="I326" s="9">
        <v>0.3611111111111111</v>
      </c>
      <c r="J326" t="str">
        <f>VLOOKUP(E326,[1]!assessment[#Data],4,1)</f>
        <v>COMERCIAL</v>
      </c>
    </row>
    <row r="327" spans="2:10" x14ac:dyDescent="0.3">
      <c r="B327" s="8">
        <v>46113</v>
      </c>
      <c r="C327">
        <v>223704</v>
      </c>
      <c r="D327" s="10" t="s">
        <v>119</v>
      </c>
      <c r="E327" s="14" t="s">
        <v>64</v>
      </c>
      <c r="F327" t="s">
        <v>13</v>
      </c>
      <c r="G327" s="10" t="s">
        <v>13</v>
      </c>
      <c r="I327" s="9">
        <v>0.3611111111111111</v>
      </c>
      <c r="J327" t="str">
        <f>VLOOKUP(E327,[1]!assessment[#Data],4,1)</f>
        <v>COMERCIAL</v>
      </c>
    </row>
    <row r="328" spans="2:10" x14ac:dyDescent="0.3">
      <c r="B328" s="8">
        <v>46113</v>
      </c>
      <c r="C328">
        <v>223704</v>
      </c>
      <c r="D328" s="10" t="s">
        <v>119</v>
      </c>
      <c r="E328" s="14" t="s">
        <v>65</v>
      </c>
      <c r="F328" t="s">
        <v>13</v>
      </c>
      <c r="G328" s="10" t="s">
        <v>13</v>
      </c>
      <c r="I328" s="9">
        <v>0.3611111111111111</v>
      </c>
      <c r="J328" t="str">
        <f>VLOOKUP(E328,[1]!assessment[#Data],4,1)</f>
        <v>COMERCIAL</v>
      </c>
    </row>
    <row r="329" spans="2:10" x14ac:dyDescent="0.3">
      <c r="B329" s="8">
        <v>46113</v>
      </c>
      <c r="C329">
        <v>223704</v>
      </c>
      <c r="D329" s="10" t="s">
        <v>119</v>
      </c>
      <c r="E329" s="14" t="s">
        <v>66</v>
      </c>
      <c r="F329" t="s">
        <v>13</v>
      </c>
      <c r="G329" s="10" t="s">
        <v>13</v>
      </c>
      <c r="I329" s="9">
        <v>0.3611111111111111</v>
      </c>
      <c r="J329" t="str">
        <f>VLOOKUP(E329,[1]!assessment[#Data],4,1)</f>
        <v>COMERCIAL</v>
      </c>
    </row>
    <row r="330" spans="2:10" x14ac:dyDescent="0.3">
      <c r="B330" s="8">
        <v>46113</v>
      </c>
      <c r="C330">
        <v>223704</v>
      </c>
      <c r="D330" s="10" t="s">
        <v>119</v>
      </c>
      <c r="E330" s="14" t="s">
        <v>67</v>
      </c>
      <c r="F330" t="s">
        <v>13</v>
      </c>
      <c r="G330" s="10" t="s">
        <v>13</v>
      </c>
      <c r="I330" s="9">
        <v>0.3611111111111111</v>
      </c>
      <c r="J330" t="str">
        <f>VLOOKUP(E330,[1]!assessment[#Data],4,1)</f>
        <v>COMERCIAL</v>
      </c>
    </row>
    <row r="331" spans="2:10" x14ac:dyDescent="0.3">
      <c r="B331" s="8">
        <v>46113</v>
      </c>
      <c r="C331">
        <v>223704</v>
      </c>
      <c r="D331" s="10" t="s">
        <v>119</v>
      </c>
      <c r="E331" s="14" t="s">
        <v>68</v>
      </c>
      <c r="F331" t="s">
        <v>13</v>
      </c>
      <c r="G331" s="10" t="s">
        <v>13</v>
      </c>
      <c r="I331" s="9">
        <v>0.3611111111111111</v>
      </c>
      <c r="J331" t="str">
        <f>VLOOKUP(E331,[1]!assessment[#Data],4,1)</f>
        <v>COMERCIAL</v>
      </c>
    </row>
    <row r="332" spans="2:10" x14ac:dyDescent="0.3">
      <c r="B332" s="8">
        <v>46113</v>
      </c>
      <c r="C332">
        <v>223704</v>
      </c>
      <c r="D332" s="10" t="s">
        <v>119</v>
      </c>
      <c r="E332" s="14" t="s">
        <v>69</v>
      </c>
      <c r="F332" t="s">
        <v>13</v>
      </c>
      <c r="G332" s="10" t="s">
        <v>13</v>
      </c>
      <c r="I332" s="9">
        <v>0.3611111111111111</v>
      </c>
      <c r="J332" t="str">
        <f>VLOOKUP(E332,[1]!assessment[#Data],4,1)</f>
        <v>COMERCIAL</v>
      </c>
    </row>
    <row r="333" spans="2:10" x14ac:dyDescent="0.3">
      <c r="B333" s="8">
        <v>46113</v>
      </c>
      <c r="C333">
        <v>223704</v>
      </c>
      <c r="D333" s="10" t="s">
        <v>119</v>
      </c>
      <c r="E333" s="14" t="s">
        <v>70</v>
      </c>
      <c r="F333" t="s">
        <v>13</v>
      </c>
      <c r="G333" s="10" t="s">
        <v>13</v>
      </c>
      <c r="I333" s="9">
        <v>0.3611111111111111</v>
      </c>
      <c r="J333" t="str">
        <f>VLOOKUP(E333,[1]!assessment[#Data],4,1)</f>
        <v>COMERCIAL</v>
      </c>
    </row>
    <row r="334" spans="2:10" x14ac:dyDescent="0.3">
      <c r="B334" s="8">
        <v>46113</v>
      </c>
      <c r="C334">
        <v>223704</v>
      </c>
      <c r="D334" s="10" t="s">
        <v>119</v>
      </c>
      <c r="E334" s="14" t="s">
        <v>71</v>
      </c>
      <c r="F334" t="s">
        <v>13</v>
      </c>
      <c r="G334" s="10" t="s">
        <v>13</v>
      </c>
      <c r="I334" s="9">
        <v>0.3611111111111111</v>
      </c>
      <c r="J334" t="str">
        <f>VLOOKUP(E334,[1]!assessment[#Data],4,1)</f>
        <v>COMERCIAL</v>
      </c>
    </row>
    <row r="335" spans="2:10" x14ac:dyDescent="0.3">
      <c r="B335" s="8">
        <v>46113</v>
      </c>
      <c r="C335">
        <v>223704</v>
      </c>
      <c r="D335" s="10" t="s">
        <v>119</v>
      </c>
      <c r="E335" s="14" t="s">
        <v>72</v>
      </c>
      <c r="F335" t="s">
        <v>13</v>
      </c>
      <c r="G335" s="10" t="s">
        <v>13</v>
      </c>
      <c r="I335" s="9">
        <v>0.3611111111111111</v>
      </c>
      <c r="J335" t="str">
        <f>VLOOKUP(E335,[1]!assessment[#Data],4,1)</f>
        <v>COMERCIAL</v>
      </c>
    </row>
    <row r="336" spans="2:10" x14ac:dyDescent="0.3">
      <c r="B336" s="8">
        <v>46113</v>
      </c>
      <c r="C336">
        <v>223704</v>
      </c>
      <c r="D336" s="10" t="s">
        <v>119</v>
      </c>
      <c r="E336" s="14" t="s">
        <v>73</v>
      </c>
      <c r="F336" t="s">
        <v>13</v>
      </c>
      <c r="G336" s="10" t="s">
        <v>13</v>
      </c>
      <c r="I336" s="9">
        <v>0.3611111111111111</v>
      </c>
      <c r="J336" t="str">
        <f>VLOOKUP(E336,[1]!assessment[#Data],4,1)</f>
        <v>DISTRIBUIÇÃO</v>
      </c>
    </row>
    <row r="337" spans="2:10" x14ac:dyDescent="0.3">
      <c r="B337" s="8">
        <v>46113</v>
      </c>
      <c r="C337">
        <v>223704</v>
      </c>
      <c r="D337" s="10" t="s">
        <v>119</v>
      </c>
      <c r="E337" s="14" t="s">
        <v>74</v>
      </c>
      <c r="F337" t="s">
        <v>13</v>
      </c>
      <c r="G337" s="10" t="s">
        <v>13</v>
      </c>
      <c r="I337" s="9">
        <v>0.3611111111111111</v>
      </c>
      <c r="J337" t="str">
        <f>VLOOKUP(E337,[1]!assessment[#Data],4,1)</f>
        <v>DISTRIBUIÇÃO</v>
      </c>
    </row>
    <row r="338" spans="2:10" x14ac:dyDescent="0.3">
      <c r="B338" s="8">
        <v>46113</v>
      </c>
      <c r="C338">
        <v>223704</v>
      </c>
      <c r="D338" s="10" t="s">
        <v>119</v>
      </c>
      <c r="E338" s="14" t="s">
        <v>75</v>
      </c>
      <c r="F338" t="s">
        <v>13</v>
      </c>
      <c r="G338" s="10" t="s">
        <v>13</v>
      </c>
      <c r="I338" s="9">
        <v>0.3611111111111111</v>
      </c>
      <c r="J338" t="str">
        <f>VLOOKUP(E338,[1]!assessment[#Data],4,1)</f>
        <v>DISTRIBUIÇÃO</v>
      </c>
    </row>
    <row r="339" spans="2:10" x14ac:dyDescent="0.3">
      <c r="B339" s="8">
        <v>46113</v>
      </c>
      <c r="C339">
        <v>223704</v>
      </c>
      <c r="D339" s="10" t="s">
        <v>119</v>
      </c>
      <c r="E339" s="14" t="s">
        <v>76</v>
      </c>
      <c r="F339" t="s">
        <v>13</v>
      </c>
      <c r="G339" s="10" t="s">
        <v>13</v>
      </c>
      <c r="I339" s="9">
        <v>0.3611111111111111</v>
      </c>
      <c r="J339" t="str">
        <f>VLOOKUP(E339,[1]!assessment[#Data],4,1)</f>
        <v>DISTRIBUIÇÃO</v>
      </c>
    </row>
    <row r="340" spans="2:10" x14ac:dyDescent="0.3">
      <c r="B340" s="8">
        <v>46113</v>
      </c>
      <c r="C340">
        <v>223704</v>
      </c>
      <c r="D340" s="10" t="s">
        <v>119</v>
      </c>
      <c r="E340" s="14" t="s">
        <v>77</v>
      </c>
      <c r="F340" t="s">
        <v>13</v>
      </c>
      <c r="G340" s="10" t="s">
        <v>13</v>
      </c>
      <c r="I340" s="9">
        <v>0.3611111111111111</v>
      </c>
      <c r="J340" t="str">
        <f>VLOOKUP(E340,[1]!assessment[#Data],4,1)</f>
        <v>DISTRIBUIÇÃO</v>
      </c>
    </row>
    <row r="341" spans="2:10" x14ac:dyDescent="0.3">
      <c r="B341" s="8">
        <v>46113</v>
      </c>
      <c r="C341">
        <v>223704</v>
      </c>
      <c r="D341" s="10" t="s">
        <v>119</v>
      </c>
      <c r="E341" s="14" t="s">
        <v>78</v>
      </c>
      <c r="F341" t="s">
        <v>13</v>
      </c>
      <c r="G341" s="10" t="s">
        <v>13</v>
      </c>
      <c r="I341" s="9">
        <v>0.3611111111111111</v>
      </c>
      <c r="J341" t="str">
        <f>VLOOKUP(E341,[1]!assessment[#Data],4,1)</f>
        <v>DISTRIBUIÇÃO</v>
      </c>
    </row>
    <row r="342" spans="2:10" x14ac:dyDescent="0.3">
      <c r="B342" s="8">
        <v>46113</v>
      </c>
      <c r="C342">
        <v>223704</v>
      </c>
      <c r="D342" s="10" t="s">
        <v>119</v>
      </c>
      <c r="E342" s="14" t="s">
        <v>79</v>
      </c>
      <c r="F342" t="s">
        <v>13</v>
      </c>
      <c r="G342" s="10" t="s">
        <v>13</v>
      </c>
      <c r="I342" s="9">
        <v>0.3611111111111111</v>
      </c>
      <c r="J342" t="str">
        <f>VLOOKUP(E342,[1]!assessment[#Data],4,1)</f>
        <v>FROTA</v>
      </c>
    </row>
    <row r="343" spans="2:10" x14ac:dyDescent="0.3">
      <c r="B343" s="8">
        <v>46113</v>
      </c>
      <c r="C343">
        <v>223704</v>
      </c>
      <c r="D343" s="10" t="s">
        <v>119</v>
      </c>
      <c r="E343" s="14" t="s">
        <v>80</v>
      </c>
      <c r="F343" t="s">
        <v>13</v>
      </c>
      <c r="G343" s="10" t="s">
        <v>13</v>
      </c>
      <c r="I343" s="9">
        <v>0.3611111111111111</v>
      </c>
      <c r="J343" t="str">
        <f>VLOOKUP(E343,[1]!assessment[#Data],4,1)</f>
        <v>FROTA</v>
      </c>
    </row>
    <row r="344" spans="2:10" x14ac:dyDescent="0.3">
      <c r="B344" s="8">
        <v>46113</v>
      </c>
      <c r="C344">
        <v>223704</v>
      </c>
      <c r="D344" s="10" t="s">
        <v>119</v>
      </c>
      <c r="E344" s="14" t="s">
        <v>81</v>
      </c>
      <c r="F344" t="s">
        <v>13</v>
      </c>
      <c r="G344" s="10" t="s">
        <v>13</v>
      </c>
      <c r="I344" s="9">
        <v>0.3611111111111111</v>
      </c>
      <c r="J344" t="str">
        <f>VLOOKUP(E344,[1]!assessment[#Data],4,1)</f>
        <v>FROTA</v>
      </c>
    </row>
    <row r="345" spans="2:10" x14ac:dyDescent="0.3">
      <c r="B345" s="8">
        <v>46113</v>
      </c>
      <c r="C345">
        <v>223704</v>
      </c>
      <c r="D345" s="10" t="s">
        <v>119</v>
      </c>
      <c r="E345" s="14" t="s">
        <v>82</v>
      </c>
      <c r="F345" t="s">
        <v>13</v>
      </c>
      <c r="G345" s="10" t="s">
        <v>13</v>
      </c>
      <c r="I345" s="9">
        <v>0.3611111111111111</v>
      </c>
      <c r="J345" t="str">
        <f>VLOOKUP(E345,[1]!assessment[#Data],4,1)</f>
        <v>FROTA</v>
      </c>
    </row>
    <row r="346" spans="2:10" x14ac:dyDescent="0.3">
      <c r="B346" s="8">
        <v>46113</v>
      </c>
      <c r="C346">
        <v>223704</v>
      </c>
      <c r="D346" s="10" t="s">
        <v>119</v>
      </c>
      <c r="E346" s="14" t="s">
        <v>83</v>
      </c>
      <c r="F346" t="s">
        <v>13</v>
      </c>
      <c r="G346" s="10" t="s">
        <v>13</v>
      </c>
      <c r="I346" s="9">
        <v>0.3611111111111111</v>
      </c>
      <c r="J346" t="str">
        <f>VLOOKUP(E346,[1]!assessment[#Data],4,1)</f>
        <v>FROTA</v>
      </c>
    </row>
    <row r="347" spans="2:10" x14ac:dyDescent="0.3">
      <c r="B347" s="8">
        <v>46113</v>
      </c>
      <c r="C347">
        <v>223704</v>
      </c>
      <c r="D347" s="10" t="s">
        <v>119</v>
      </c>
      <c r="E347" s="14" t="s">
        <v>84</v>
      </c>
      <c r="F347" t="s">
        <v>13</v>
      </c>
      <c r="G347" s="10" t="s">
        <v>13</v>
      </c>
      <c r="I347" s="9">
        <v>0.3611111111111111</v>
      </c>
      <c r="J347" t="str">
        <f>VLOOKUP(E347,[1]!assessment[#Data],4,1)</f>
        <v>RH</v>
      </c>
    </row>
    <row r="348" spans="2:10" x14ac:dyDescent="0.3">
      <c r="B348" s="8">
        <v>46113</v>
      </c>
      <c r="C348">
        <v>223704</v>
      </c>
      <c r="D348" s="10" t="s">
        <v>119</v>
      </c>
      <c r="E348" s="14" t="s">
        <v>85</v>
      </c>
      <c r="F348" t="s">
        <v>13</v>
      </c>
      <c r="G348" s="10" t="s">
        <v>13</v>
      </c>
      <c r="I348" s="9">
        <v>0.3611111111111111</v>
      </c>
      <c r="J348" t="str">
        <f>VLOOKUP(E348,[1]!assessment[#Data],4,1)</f>
        <v>RH</v>
      </c>
    </row>
    <row r="349" spans="2:10" x14ac:dyDescent="0.3">
      <c r="B349" s="8">
        <v>46113</v>
      </c>
      <c r="C349">
        <v>223704</v>
      </c>
      <c r="D349" s="10" t="s">
        <v>119</v>
      </c>
      <c r="E349" s="14" t="s">
        <v>86</v>
      </c>
      <c r="F349" t="s">
        <v>13</v>
      </c>
      <c r="G349" s="10" t="s">
        <v>13</v>
      </c>
      <c r="I349" s="9">
        <v>0.3611111111111111</v>
      </c>
      <c r="J349" t="str">
        <f>VLOOKUP(E349,[1]!assessment[#Data],4,1)</f>
        <v>RH</v>
      </c>
    </row>
    <row r="350" spans="2:10" x14ac:dyDescent="0.3">
      <c r="B350" s="8">
        <v>46113</v>
      </c>
      <c r="C350">
        <v>223704</v>
      </c>
      <c r="D350" s="10" t="s">
        <v>119</v>
      </c>
      <c r="E350" s="14" t="s">
        <v>87</v>
      </c>
      <c r="F350" t="s">
        <v>13</v>
      </c>
      <c r="G350" s="10" t="s">
        <v>13</v>
      </c>
      <c r="I350" s="9">
        <v>0.3611111111111111</v>
      </c>
      <c r="J350" t="str">
        <f>VLOOKUP(E350,[1]!assessment[#Data],4,1)</f>
        <v>RH</v>
      </c>
    </row>
    <row r="351" spans="2:10" x14ac:dyDescent="0.3">
      <c r="B351" s="8">
        <v>46113</v>
      </c>
      <c r="C351">
        <v>223704</v>
      </c>
      <c r="D351" s="10" t="s">
        <v>119</v>
      </c>
      <c r="E351" s="14" t="s">
        <v>88</v>
      </c>
      <c r="F351" t="s">
        <v>13</v>
      </c>
      <c r="G351" s="10" t="s">
        <v>13</v>
      </c>
      <c r="I351" s="9">
        <v>0.3611111111111111</v>
      </c>
      <c r="J351" t="str">
        <f>VLOOKUP(E351,[1]!assessment[#Data],4,1)</f>
        <v>RH</v>
      </c>
    </row>
    <row r="352" spans="2:10" x14ac:dyDescent="0.3">
      <c r="B352" s="8">
        <v>46113</v>
      </c>
      <c r="C352">
        <v>223704</v>
      </c>
      <c r="D352" s="10" t="s">
        <v>119</v>
      </c>
      <c r="E352" s="14" t="s">
        <v>89</v>
      </c>
      <c r="F352" t="s">
        <v>13</v>
      </c>
      <c r="G352" s="10" t="s">
        <v>13</v>
      </c>
      <c r="I352" s="9">
        <v>0.3611111111111111</v>
      </c>
      <c r="J352" t="str">
        <f>VLOOKUP(E352,[1]!assessment[#Data],4,1)</f>
        <v>RH</v>
      </c>
    </row>
    <row r="353" spans="2:10" x14ac:dyDescent="0.3">
      <c r="B353" s="8">
        <v>46113</v>
      </c>
      <c r="C353">
        <v>223704</v>
      </c>
      <c r="D353" s="10" t="s">
        <v>119</v>
      </c>
      <c r="E353" s="14" t="s">
        <v>90</v>
      </c>
      <c r="F353" t="s">
        <v>13</v>
      </c>
      <c r="G353" s="10" t="s">
        <v>13</v>
      </c>
      <c r="I353" s="9">
        <v>0.3611111111111111</v>
      </c>
      <c r="J353" t="str">
        <f>VLOOKUP(E353,[1]!assessment[#Data],4,1)</f>
        <v>RH</v>
      </c>
    </row>
    <row r="354" spans="2:10" x14ac:dyDescent="0.3">
      <c r="B354" s="8">
        <v>46113</v>
      </c>
      <c r="C354">
        <v>223704</v>
      </c>
      <c r="D354" s="10" t="s">
        <v>119</v>
      </c>
      <c r="E354" s="14" t="s">
        <v>91</v>
      </c>
      <c r="F354" t="s">
        <v>13</v>
      </c>
      <c r="G354" s="10" t="s">
        <v>13</v>
      </c>
      <c r="I354" s="9">
        <v>0.3611111111111111</v>
      </c>
      <c r="J354" t="str">
        <f>VLOOKUP(E354,[1]!assessment[#Data],4,1)</f>
        <v>RH</v>
      </c>
    </row>
    <row r="355" spans="2:10" x14ac:dyDescent="0.3">
      <c r="B355" s="8">
        <v>46113</v>
      </c>
      <c r="C355">
        <v>223704</v>
      </c>
      <c r="D355" s="10" t="s">
        <v>119</v>
      </c>
      <c r="E355" s="14" t="s">
        <v>92</v>
      </c>
      <c r="F355" t="s">
        <v>13</v>
      </c>
      <c r="G355" s="10" t="s">
        <v>13</v>
      </c>
      <c r="I355" s="9">
        <v>0.3611111111111111</v>
      </c>
      <c r="J355" t="str">
        <f>VLOOKUP(E355,[1]!assessment[#Data],4,1)</f>
        <v>SHE</v>
      </c>
    </row>
    <row r="356" spans="2:10" x14ac:dyDescent="0.3">
      <c r="B356" s="8">
        <v>46113</v>
      </c>
      <c r="C356">
        <v>223704</v>
      </c>
      <c r="D356" s="10" t="s">
        <v>119</v>
      </c>
      <c r="E356" s="14" t="s">
        <v>93</v>
      </c>
      <c r="F356" t="s">
        <v>13</v>
      </c>
      <c r="G356" s="10" t="s">
        <v>13</v>
      </c>
      <c r="I356" s="9">
        <v>0.3611111111111111</v>
      </c>
      <c r="J356" t="str">
        <f>VLOOKUP(E356,[1]!assessment[#Data],4,1)</f>
        <v>SHE</v>
      </c>
    </row>
    <row r="357" spans="2:10" x14ac:dyDescent="0.3">
      <c r="B357" s="8">
        <v>46113</v>
      </c>
      <c r="C357">
        <v>223704</v>
      </c>
      <c r="D357" s="10" t="s">
        <v>119</v>
      </c>
      <c r="E357" s="14" t="s">
        <v>94</v>
      </c>
      <c r="F357" t="s">
        <v>13</v>
      </c>
      <c r="G357" s="10" t="s">
        <v>13</v>
      </c>
      <c r="I357" s="9">
        <v>0.3611111111111111</v>
      </c>
      <c r="J357" t="str">
        <f>VLOOKUP(E357,[1]!assessment[#Data],4,1)</f>
        <v>SHE</v>
      </c>
    </row>
    <row r="358" spans="2:10" x14ac:dyDescent="0.3">
      <c r="B358" s="8">
        <v>46113</v>
      </c>
      <c r="C358">
        <v>223704</v>
      </c>
      <c r="D358" s="10" t="s">
        <v>119</v>
      </c>
      <c r="E358" s="14" t="s">
        <v>95</v>
      </c>
      <c r="F358" t="s">
        <v>13</v>
      </c>
      <c r="G358" s="10" t="s">
        <v>13</v>
      </c>
      <c r="I358" s="9">
        <v>0.3611111111111111</v>
      </c>
      <c r="J358" t="str">
        <f>VLOOKUP(E358,[1]!assessment[#Data],4,1)</f>
        <v>SHE</v>
      </c>
    </row>
    <row r="359" spans="2:10" x14ac:dyDescent="0.3">
      <c r="B359" s="8">
        <v>46113</v>
      </c>
      <c r="C359">
        <v>223704</v>
      </c>
      <c r="D359" s="10" t="s">
        <v>119</v>
      </c>
      <c r="E359" s="14" t="s">
        <v>96</v>
      </c>
      <c r="F359" t="s">
        <v>13</v>
      </c>
      <c r="G359" s="10" t="s">
        <v>13</v>
      </c>
      <c r="I359" s="9">
        <v>0.3611111111111111</v>
      </c>
      <c r="J359" t="str">
        <f>VLOOKUP(E359,[1]!assessment[#Data],4,1)</f>
        <v>SHE</v>
      </c>
    </row>
    <row r="360" spans="2:10" x14ac:dyDescent="0.3">
      <c r="B360" s="8">
        <v>46113</v>
      </c>
      <c r="C360">
        <v>223704</v>
      </c>
      <c r="D360" s="10" t="s">
        <v>119</v>
      </c>
      <c r="E360" s="14" t="s">
        <v>97</v>
      </c>
      <c r="F360" t="s">
        <v>13</v>
      </c>
      <c r="G360" s="10" t="s">
        <v>13</v>
      </c>
      <c r="I360" s="9">
        <v>0.3611111111111111</v>
      </c>
      <c r="J360" t="str">
        <f>VLOOKUP(E360,[1]!assessment[#Data],4,1)</f>
        <v>SHE</v>
      </c>
    </row>
    <row r="361" spans="2:10" x14ac:dyDescent="0.3">
      <c r="B361" s="8">
        <v>46113</v>
      </c>
      <c r="C361">
        <v>223704</v>
      </c>
      <c r="D361" s="10" t="s">
        <v>119</v>
      </c>
      <c r="E361" s="14" t="s">
        <v>98</v>
      </c>
      <c r="F361" t="s">
        <v>13</v>
      </c>
      <c r="G361" s="10" t="s">
        <v>13</v>
      </c>
      <c r="I361" s="9">
        <v>0.3611111111111111</v>
      </c>
      <c r="J361" t="str">
        <f>VLOOKUP(E361,[1]!assessment[#Data],4,1)</f>
        <v>SHE</v>
      </c>
    </row>
    <row r="362" spans="2:10" x14ac:dyDescent="0.3">
      <c r="B362" s="8">
        <v>46113</v>
      </c>
      <c r="C362">
        <v>223704</v>
      </c>
      <c r="D362" s="10" t="s">
        <v>119</v>
      </c>
      <c r="E362" s="14" t="s">
        <v>99</v>
      </c>
      <c r="F362" t="s">
        <v>13</v>
      </c>
      <c r="G362" s="10" t="s">
        <v>13</v>
      </c>
      <c r="I362" s="9">
        <v>0.3611111111111111</v>
      </c>
      <c r="J362" t="str">
        <f>VLOOKUP(E362,[1]!assessment[#Data],4,1)</f>
        <v>SHE</v>
      </c>
    </row>
    <row r="363" spans="2:10" x14ac:dyDescent="0.3">
      <c r="B363" s="8">
        <v>46113</v>
      </c>
      <c r="C363">
        <v>223704</v>
      </c>
      <c r="D363" s="10" t="s">
        <v>119</v>
      </c>
      <c r="E363" s="14" t="s">
        <v>100</v>
      </c>
      <c r="F363" t="s">
        <v>13</v>
      </c>
      <c r="G363" s="10" t="s">
        <v>13</v>
      </c>
      <c r="I363" s="9">
        <v>0.3611111111111111</v>
      </c>
      <c r="J363" t="str">
        <f>VLOOKUP(E363,[1]!assessment[#Data],4,1)</f>
        <v>SHE</v>
      </c>
    </row>
    <row r="364" spans="2:10" x14ac:dyDescent="0.3">
      <c r="B364" s="8">
        <v>46113</v>
      </c>
      <c r="C364">
        <v>223704</v>
      </c>
      <c r="D364" s="10" t="s">
        <v>119</v>
      </c>
      <c r="E364" s="14" t="s">
        <v>101</v>
      </c>
      <c r="F364" t="s">
        <v>13</v>
      </c>
      <c r="G364" s="10" t="s">
        <v>13</v>
      </c>
      <c r="I364" s="9">
        <v>0.3611111111111111</v>
      </c>
      <c r="J364" t="str">
        <f>VLOOKUP(E364,[1]!assessment[#Data],4,1)</f>
        <v>SISTEMA OPERACIONAL</v>
      </c>
    </row>
    <row r="365" spans="2:10" x14ac:dyDescent="0.3">
      <c r="B365" s="8">
        <v>46113</v>
      </c>
      <c r="C365">
        <v>223704</v>
      </c>
      <c r="D365" s="10" t="s">
        <v>119</v>
      </c>
      <c r="E365" s="14" t="s">
        <v>102</v>
      </c>
      <c r="F365" t="s">
        <v>13</v>
      </c>
      <c r="G365" s="10" t="s">
        <v>13</v>
      </c>
      <c r="I365" s="9">
        <v>0.3611111111111111</v>
      </c>
      <c r="J365" t="str">
        <f>VLOOKUP(E365,[1]!assessment[#Data],4,1)</f>
        <v>SISTEMA OPERACIONAL</v>
      </c>
    </row>
    <row r="366" spans="2:10" x14ac:dyDescent="0.3">
      <c r="B366" s="8">
        <v>46113</v>
      </c>
      <c r="C366">
        <v>223704</v>
      </c>
      <c r="D366" s="10" t="s">
        <v>119</v>
      </c>
      <c r="E366" s="14" t="s">
        <v>103</v>
      </c>
      <c r="F366" t="s">
        <v>13</v>
      </c>
      <c r="G366" s="10" t="s">
        <v>13</v>
      </c>
      <c r="I366" s="9">
        <v>0.3611111111111111</v>
      </c>
      <c r="J366" t="str">
        <f>VLOOKUP(E366,[1]!assessment[#Data],4,1)</f>
        <v>TRADE</v>
      </c>
    </row>
    <row r="367" spans="2:10" x14ac:dyDescent="0.3">
      <c r="B367" s="8">
        <v>46113</v>
      </c>
      <c r="C367">
        <v>223704</v>
      </c>
      <c r="D367" s="10" t="s">
        <v>119</v>
      </c>
      <c r="E367" s="14" t="s">
        <v>104</v>
      </c>
      <c r="F367" t="s">
        <v>13</v>
      </c>
      <c r="G367" s="10" t="s">
        <v>13</v>
      </c>
      <c r="I367" s="9">
        <v>0.3611111111111111</v>
      </c>
      <c r="J367" t="str">
        <f>VLOOKUP(E367,[1]!assessment[#Data],4,1)</f>
        <v>TRADE</v>
      </c>
    </row>
    <row r="368" spans="2:10" x14ac:dyDescent="0.3">
      <c r="B368" s="8">
        <v>46113</v>
      </c>
      <c r="C368">
        <v>223704</v>
      </c>
      <c r="D368" s="10" t="s">
        <v>119</v>
      </c>
      <c r="E368" s="14" t="s">
        <v>105</v>
      </c>
      <c r="F368" t="s">
        <v>13</v>
      </c>
      <c r="G368" s="10" t="s">
        <v>13</v>
      </c>
      <c r="I368" s="9">
        <v>0.3611111111111111</v>
      </c>
      <c r="J368" t="str">
        <f>VLOOKUP(E368,[1]!assessment[#Data],4,1)</f>
        <v>TRADE</v>
      </c>
    </row>
    <row r="369" spans="2:10" x14ac:dyDescent="0.3">
      <c r="B369" s="8">
        <v>46113</v>
      </c>
      <c r="C369">
        <v>223704</v>
      </c>
      <c r="D369" s="10" t="s">
        <v>119</v>
      </c>
      <c r="E369" s="14" t="s">
        <v>106</v>
      </c>
      <c r="F369" t="s">
        <v>13</v>
      </c>
      <c r="G369" s="10" t="s">
        <v>13</v>
      </c>
      <c r="I369" s="9">
        <v>0.3611111111111111</v>
      </c>
      <c r="J369" t="str">
        <f>VLOOKUP(E369,[1]!assessment[#Data],4,1)</f>
        <v>TRADE</v>
      </c>
    </row>
    <row r="370" spans="2:10" x14ac:dyDescent="0.3">
      <c r="B370" s="8">
        <v>46113</v>
      </c>
      <c r="C370">
        <v>223704</v>
      </c>
      <c r="D370" s="10" t="s">
        <v>119</v>
      </c>
      <c r="E370" s="14" t="s">
        <v>107</v>
      </c>
      <c r="F370" t="s">
        <v>13</v>
      </c>
      <c r="G370" s="10" t="s">
        <v>13</v>
      </c>
      <c r="I370" s="9">
        <v>0.3611111111111111</v>
      </c>
      <c r="J370" t="str">
        <f>VLOOKUP(E370,[1]!assessment[#Data],4,1)</f>
        <v>TRADE</v>
      </c>
    </row>
    <row r="371" spans="2:10" x14ac:dyDescent="0.3">
      <c r="B371" s="8">
        <v>46113</v>
      </c>
      <c r="C371">
        <v>223704</v>
      </c>
      <c r="D371" s="10" t="s">
        <v>119</v>
      </c>
      <c r="E371" s="14" t="s">
        <v>108</v>
      </c>
      <c r="F371" t="s">
        <v>13</v>
      </c>
      <c r="G371" s="10" t="s">
        <v>13</v>
      </c>
      <c r="I371" s="9">
        <v>0.3611111111111111</v>
      </c>
      <c r="J371" t="str">
        <f>VLOOKUP(E371,[1]!assessment[#Data],4,1)</f>
        <v>TRADE</v>
      </c>
    </row>
    <row r="372" spans="2:10" x14ac:dyDescent="0.3">
      <c r="B372" s="8">
        <v>46113</v>
      </c>
      <c r="C372">
        <v>223704</v>
      </c>
      <c r="D372" s="10" t="s">
        <v>119</v>
      </c>
      <c r="E372" s="15" t="s">
        <v>109</v>
      </c>
      <c r="F372" t="s">
        <v>13</v>
      </c>
      <c r="G372" s="10" t="s">
        <v>13</v>
      </c>
      <c r="I372" s="9">
        <v>0.3611111111111111</v>
      </c>
      <c r="J372" t="str">
        <f>VLOOKUP(E372,[1]!assessment[#Data],4,1)</f>
        <v>TRADE</v>
      </c>
    </row>
    <row r="373" spans="2:10" x14ac:dyDescent="0.3">
      <c r="B373" s="8">
        <v>46113</v>
      </c>
      <c r="C373">
        <v>217211</v>
      </c>
      <c r="D373" s="10" t="s">
        <v>121</v>
      </c>
      <c r="E373" t="s">
        <v>12</v>
      </c>
      <c r="F373" t="s">
        <v>13</v>
      </c>
      <c r="G373" s="10" t="s">
        <v>13</v>
      </c>
      <c r="I373" s="9">
        <v>0.36180555555555555</v>
      </c>
      <c r="J373" t="str">
        <f>VLOOKUP(E373,[1]!assessment[#Data],4,1)</f>
        <v>ADMINISTRATIVO</v>
      </c>
    </row>
    <row r="374" spans="2:10" x14ac:dyDescent="0.3">
      <c r="B374" s="8">
        <v>46113</v>
      </c>
      <c r="C374">
        <v>217211</v>
      </c>
      <c r="D374" s="10" t="s">
        <v>121</v>
      </c>
      <c r="E374" t="s">
        <v>14</v>
      </c>
      <c r="F374" t="s">
        <v>13</v>
      </c>
      <c r="G374" s="10" t="s">
        <v>13</v>
      </c>
      <c r="I374" s="9">
        <v>0.36180555555555555</v>
      </c>
      <c r="J374" t="str">
        <f>VLOOKUP(E374,[1]!assessment[#Data],4,1)</f>
        <v>ADMINISTRATIVO</v>
      </c>
    </row>
    <row r="375" spans="2:10" x14ac:dyDescent="0.3">
      <c r="B375" s="8">
        <v>46113</v>
      </c>
      <c r="C375">
        <v>217211</v>
      </c>
      <c r="D375" s="10" t="s">
        <v>121</v>
      </c>
      <c r="E375" t="s">
        <v>15</v>
      </c>
      <c r="F375" t="s">
        <v>13</v>
      </c>
      <c r="G375" s="10" t="s">
        <v>13</v>
      </c>
      <c r="I375" s="9">
        <v>0.36180555555555555</v>
      </c>
      <c r="J375" t="str">
        <f>VLOOKUP(E375,[1]!assessment[#Data],4,1)</f>
        <v>ADMINISTRATIVO</v>
      </c>
    </row>
    <row r="376" spans="2:10" x14ac:dyDescent="0.3">
      <c r="B376" s="8">
        <v>46113</v>
      </c>
      <c r="C376">
        <v>217211</v>
      </c>
      <c r="D376" s="10" t="s">
        <v>121</v>
      </c>
      <c r="E376" t="s">
        <v>18</v>
      </c>
      <c r="F376" t="s">
        <v>13</v>
      </c>
      <c r="G376" s="10" t="s">
        <v>13</v>
      </c>
      <c r="I376" s="9">
        <v>0.36180555555555555</v>
      </c>
      <c r="J376" t="str">
        <f>VLOOKUP(E376,[1]!assessment[#Data],4,1)</f>
        <v>ADMINISTRATIVO</v>
      </c>
    </row>
    <row r="377" spans="2:10" x14ac:dyDescent="0.3">
      <c r="B377" s="8">
        <v>46113</v>
      </c>
      <c r="C377">
        <v>217211</v>
      </c>
      <c r="D377" s="10" t="s">
        <v>121</v>
      </c>
      <c r="E377" t="s">
        <v>19</v>
      </c>
      <c r="F377" t="s">
        <v>13</v>
      </c>
      <c r="G377" s="10" t="s">
        <v>13</v>
      </c>
      <c r="I377" s="9">
        <v>0.36180555555555555</v>
      </c>
      <c r="J377" t="str">
        <f>VLOOKUP(E377,[1]!assessment[#Data],4,1)</f>
        <v>ADMINISTRATIVO</v>
      </c>
    </row>
    <row r="378" spans="2:10" x14ac:dyDescent="0.3">
      <c r="B378" s="8">
        <v>46113</v>
      </c>
      <c r="C378">
        <v>217211</v>
      </c>
      <c r="D378" s="10" t="s">
        <v>121</v>
      </c>
      <c r="E378" t="s">
        <v>20</v>
      </c>
      <c r="F378" t="s">
        <v>13</v>
      </c>
      <c r="G378" s="10" t="s">
        <v>13</v>
      </c>
      <c r="I378" s="9">
        <v>0.36180555555555555</v>
      </c>
      <c r="J378" t="str">
        <f>VLOOKUP(E378,[1]!assessment[#Data],4,1)</f>
        <v>ADMINISTRATIVO</v>
      </c>
    </row>
    <row r="379" spans="2:10" x14ac:dyDescent="0.3">
      <c r="B379" s="8">
        <v>46113</v>
      </c>
      <c r="C379">
        <v>217211</v>
      </c>
      <c r="D379" s="10" t="s">
        <v>121</v>
      </c>
      <c r="E379" t="s">
        <v>21</v>
      </c>
      <c r="F379" t="s">
        <v>13</v>
      </c>
      <c r="G379" s="10" t="s">
        <v>13</v>
      </c>
      <c r="I379" s="9">
        <v>0.36180555555555555</v>
      </c>
      <c r="J379" t="str">
        <f>VLOOKUP(E379,[1]!assessment[#Data],4,1)</f>
        <v>ADMINISTRATIVO</v>
      </c>
    </row>
    <row r="380" spans="2:10" x14ac:dyDescent="0.3">
      <c r="B380" s="8">
        <v>46113</v>
      </c>
      <c r="C380">
        <v>217211</v>
      </c>
      <c r="D380" s="10" t="s">
        <v>121</v>
      </c>
      <c r="E380" t="s">
        <v>23</v>
      </c>
      <c r="F380" t="s">
        <v>13</v>
      </c>
      <c r="G380" s="10" t="s">
        <v>13</v>
      </c>
      <c r="I380" s="9">
        <v>0.36180555555555555</v>
      </c>
      <c r="J380" t="str">
        <f>VLOOKUP(E380,[1]!assessment[#Data],4,1)</f>
        <v>ADMINISTRATIVO</v>
      </c>
    </row>
    <row r="381" spans="2:10" x14ac:dyDescent="0.3">
      <c r="B381" s="8">
        <v>46113</v>
      </c>
      <c r="C381">
        <v>217211</v>
      </c>
      <c r="D381" s="10" t="s">
        <v>121</v>
      </c>
      <c r="E381" t="s">
        <v>24</v>
      </c>
      <c r="F381" t="s">
        <v>13</v>
      </c>
      <c r="G381" s="10" t="s">
        <v>13</v>
      </c>
      <c r="I381" s="9">
        <v>0.36180555555555555</v>
      </c>
      <c r="J381" t="str">
        <f>VLOOKUP(E381,[1]!assessment[#Data],4,1)</f>
        <v>ADMINISTRATIVO</v>
      </c>
    </row>
    <row r="382" spans="2:10" x14ac:dyDescent="0.3">
      <c r="B382" s="8">
        <v>46113</v>
      </c>
      <c r="C382">
        <v>217211</v>
      </c>
      <c r="D382" s="10" t="s">
        <v>121</v>
      </c>
      <c r="E382" t="s">
        <v>25</v>
      </c>
      <c r="F382" t="s">
        <v>13</v>
      </c>
      <c r="G382" s="10" t="s">
        <v>13</v>
      </c>
      <c r="I382" s="9">
        <v>0.36180555555555555</v>
      </c>
      <c r="J382" t="str">
        <f>VLOOKUP(E382,[1]!assessment[#Data],4,1)</f>
        <v>ADMINISTRATIVO</v>
      </c>
    </row>
    <row r="383" spans="2:10" x14ac:dyDescent="0.3">
      <c r="B383" s="8">
        <v>46113</v>
      </c>
      <c r="C383">
        <v>217211</v>
      </c>
      <c r="D383" s="10" t="s">
        <v>121</v>
      </c>
      <c r="E383" t="s">
        <v>26</v>
      </c>
      <c r="F383" t="s">
        <v>13</v>
      </c>
      <c r="G383" s="10" t="s">
        <v>13</v>
      </c>
      <c r="I383" s="9">
        <v>0.36180555555555555</v>
      </c>
      <c r="J383" t="str">
        <f>VLOOKUP(E383,[1]!assessment[#Data],4,1)</f>
        <v>ADMINISTRATIVO</v>
      </c>
    </row>
    <row r="384" spans="2:10" x14ac:dyDescent="0.3">
      <c r="B384" s="8">
        <v>46113</v>
      </c>
      <c r="C384">
        <v>217211</v>
      </c>
      <c r="D384" s="10" t="s">
        <v>121</v>
      </c>
      <c r="E384" t="s">
        <v>27</v>
      </c>
      <c r="F384" t="s">
        <v>13</v>
      </c>
      <c r="G384" s="10" t="s">
        <v>13</v>
      </c>
      <c r="I384" s="9">
        <v>0.36180555555555555</v>
      </c>
      <c r="J384" t="str">
        <f>VLOOKUP(E384,[1]!assessment[#Data],4,1)</f>
        <v>ARMAZÉM</v>
      </c>
    </row>
    <row r="385" spans="2:10" x14ac:dyDescent="0.3">
      <c r="B385" s="8">
        <v>46113</v>
      </c>
      <c r="C385">
        <v>217211</v>
      </c>
      <c r="D385" s="10" t="s">
        <v>121</v>
      </c>
      <c r="E385" t="s">
        <v>28</v>
      </c>
      <c r="F385" t="s">
        <v>13</v>
      </c>
      <c r="G385" s="10" t="s">
        <v>13</v>
      </c>
      <c r="I385" s="9">
        <v>0.36180555555555555</v>
      </c>
      <c r="J385" t="str">
        <f>VLOOKUP(E385,[1]!assessment[#Data],4,1)</f>
        <v>ARMAZÉM</v>
      </c>
    </row>
    <row r="386" spans="2:10" x14ac:dyDescent="0.3">
      <c r="B386" s="8">
        <v>46113</v>
      </c>
      <c r="C386">
        <v>217211</v>
      </c>
      <c r="D386" s="10" t="s">
        <v>121</v>
      </c>
      <c r="E386" t="s">
        <v>29</v>
      </c>
      <c r="F386" t="s">
        <v>13</v>
      </c>
      <c r="G386" s="10" t="s">
        <v>13</v>
      </c>
      <c r="I386" s="9">
        <v>0.36180555555555555</v>
      </c>
      <c r="J386" t="str">
        <f>VLOOKUP(E386,[1]!assessment[#Data],4,1)</f>
        <v>ARMAZÉM</v>
      </c>
    </row>
    <row r="387" spans="2:10" x14ac:dyDescent="0.3">
      <c r="B387" s="8">
        <v>46113</v>
      </c>
      <c r="C387">
        <v>217211</v>
      </c>
      <c r="D387" s="10" t="s">
        <v>121</v>
      </c>
      <c r="E387" t="s">
        <v>30</v>
      </c>
      <c r="F387" t="s">
        <v>13</v>
      </c>
      <c r="G387" s="10" t="s">
        <v>13</v>
      </c>
      <c r="I387" s="9">
        <v>0.36180555555555555</v>
      </c>
      <c r="J387" t="str">
        <f>VLOOKUP(E387,[1]!assessment[#Data],4,1)</f>
        <v>ARMAZÉM</v>
      </c>
    </row>
    <row r="388" spans="2:10" x14ac:dyDescent="0.3">
      <c r="B388" s="8">
        <v>46113</v>
      </c>
      <c r="C388">
        <v>217211</v>
      </c>
      <c r="D388" s="10" t="s">
        <v>121</v>
      </c>
      <c r="E388" t="s">
        <v>31</v>
      </c>
      <c r="F388" t="s">
        <v>13</v>
      </c>
      <c r="G388" s="10" t="s">
        <v>13</v>
      </c>
      <c r="I388" s="9">
        <v>0.36180555555555555</v>
      </c>
      <c r="J388" t="str">
        <f>VLOOKUP(E388,[1]!assessment[#Data],4,1)</f>
        <v>ARMAZÉM</v>
      </c>
    </row>
    <row r="389" spans="2:10" x14ac:dyDescent="0.3">
      <c r="B389" s="8">
        <v>46113</v>
      </c>
      <c r="C389">
        <v>217211</v>
      </c>
      <c r="D389" s="10" t="s">
        <v>121</v>
      </c>
      <c r="E389" t="s">
        <v>32</v>
      </c>
      <c r="F389" t="s">
        <v>13</v>
      </c>
      <c r="G389" s="10" t="s">
        <v>13</v>
      </c>
      <c r="I389" s="9">
        <v>0.36180555555555555</v>
      </c>
      <c r="J389" t="str">
        <f>VLOOKUP(E389,[1]!assessment[#Data],4,1)</f>
        <v>ARMAZÉM</v>
      </c>
    </row>
    <row r="390" spans="2:10" x14ac:dyDescent="0.3">
      <c r="B390" s="8">
        <v>46113</v>
      </c>
      <c r="C390">
        <v>217211</v>
      </c>
      <c r="D390" s="10" t="s">
        <v>121</v>
      </c>
      <c r="E390" t="s">
        <v>33</v>
      </c>
      <c r="F390" t="s">
        <v>13</v>
      </c>
      <c r="G390" s="10" t="s">
        <v>13</v>
      </c>
      <c r="I390" s="9">
        <v>0.36180555555555555</v>
      </c>
      <c r="J390" t="str">
        <f>VLOOKUP(E390,[1]!assessment[#Data],4,1)</f>
        <v>ARMAZÉM</v>
      </c>
    </row>
    <row r="391" spans="2:10" x14ac:dyDescent="0.3">
      <c r="B391" s="8">
        <v>46113</v>
      </c>
      <c r="C391">
        <v>217211</v>
      </c>
      <c r="D391" s="10" t="s">
        <v>121</v>
      </c>
      <c r="E391" t="s">
        <v>34</v>
      </c>
      <c r="F391" t="s">
        <v>13</v>
      </c>
      <c r="G391" s="10" t="s">
        <v>13</v>
      </c>
      <c r="I391" s="9">
        <v>0.36180555555555555</v>
      </c>
      <c r="J391" t="str">
        <f>VLOOKUP(E391,[1]!assessment[#Data],4,1)</f>
        <v>ARMAZÉM</v>
      </c>
    </row>
    <row r="392" spans="2:10" x14ac:dyDescent="0.3">
      <c r="B392" s="8">
        <v>46113</v>
      </c>
      <c r="C392">
        <v>217211</v>
      </c>
      <c r="D392" s="10" t="s">
        <v>121</v>
      </c>
      <c r="E392" t="s">
        <v>35</v>
      </c>
      <c r="F392" t="s">
        <v>13</v>
      </c>
      <c r="G392" s="10" t="s">
        <v>13</v>
      </c>
      <c r="I392" s="9">
        <v>0.36180555555555555</v>
      </c>
      <c r="J392" t="str">
        <f>VLOOKUP(E392,[1]!assessment[#Data],4,1)</f>
        <v>ARMAZÉM</v>
      </c>
    </row>
    <row r="393" spans="2:10" x14ac:dyDescent="0.3">
      <c r="B393" s="8">
        <v>46113</v>
      </c>
      <c r="C393">
        <v>217211</v>
      </c>
      <c r="D393" s="10" t="s">
        <v>121</v>
      </c>
      <c r="E393" t="s">
        <v>36</v>
      </c>
      <c r="F393" t="s">
        <v>13</v>
      </c>
      <c r="G393" s="10" t="s">
        <v>13</v>
      </c>
      <c r="I393" s="9">
        <v>0.36180555555555555</v>
      </c>
      <c r="J393" t="str">
        <f>VLOOKUP(E393,[1]!assessment[#Data],4,1)</f>
        <v>ARMAZÉM</v>
      </c>
    </row>
    <row r="394" spans="2:10" x14ac:dyDescent="0.3">
      <c r="B394" s="8">
        <v>46113</v>
      </c>
      <c r="C394">
        <v>217211</v>
      </c>
      <c r="D394" s="10" t="s">
        <v>121</v>
      </c>
      <c r="E394" t="s">
        <v>37</v>
      </c>
      <c r="F394" t="s">
        <v>13</v>
      </c>
      <c r="G394" s="10" t="s">
        <v>13</v>
      </c>
      <c r="I394" s="9">
        <v>0.36180555555555555</v>
      </c>
      <c r="J394" t="str">
        <f>VLOOKUP(E394,[1]!assessment[#Data],4,1)</f>
        <v>COMODATO</v>
      </c>
    </row>
    <row r="395" spans="2:10" x14ac:dyDescent="0.3">
      <c r="B395" s="8">
        <v>46113</v>
      </c>
      <c r="C395">
        <v>217211</v>
      </c>
      <c r="D395" s="10" t="s">
        <v>121</v>
      </c>
      <c r="E395" t="s">
        <v>38</v>
      </c>
      <c r="F395" t="s">
        <v>13</v>
      </c>
      <c r="G395" s="10" t="s">
        <v>13</v>
      </c>
      <c r="I395" s="9">
        <v>0.36180555555555555</v>
      </c>
      <c r="J395" t="str">
        <f>VLOOKUP(E395,[1]!assessment[#Data],4,1)</f>
        <v>COMODATO</v>
      </c>
    </row>
    <row r="396" spans="2:10" x14ac:dyDescent="0.3">
      <c r="B396" s="8">
        <v>46113</v>
      </c>
      <c r="C396">
        <v>217211</v>
      </c>
      <c r="D396" s="10" t="s">
        <v>121</v>
      </c>
      <c r="E396" t="s">
        <v>39</v>
      </c>
      <c r="F396" t="s">
        <v>13</v>
      </c>
      <c r="G396" s="10" t="s">
        <v>13</v>
      </c>
      <c r="I396" s="9">
        <v>0.36180555555555555</v>
      </c>
      <c r="J396" t="str">
        <f>VLOOKUP(E396,[1]!assessment[#Data],4,1)</f>
        <v>COMODATO</v>
      </c>
    </row>
    <row r="397" spans="2:10" x14ac:dyDescent="0.3">
      <c r="B397" s="8">
        <v>46113</v>
      </c>
      <c r="C397">
        <v>217211</v>
      </c>
      <c r="D397" s="10" t="s">
        <v>121</v>
      </c>
      <c r="E397" t="s">
        <v>40</v>
      </c>
      <c r="F397" t="s">
        <v>13</v>
      </c>
      <c r="G397" s="10" t="s">
        <v>13</v>
      </c>
      <c r="I397" s="9">
        <v>0.36180555555555555</v>
      </c>
      <c r="J397" t="str">
        <f>VLOOKUP(E397,[1]!assessment[#Data],4,1)</f>
        <v>COMERCIAL</v>
      </c>
    </row>
    <row r="398" spans="2:10" x14ac:dyDescent="0.3">
      <c r="B398" s="8">
        <v>46113</v>
      </c>
      <c r="C398">
        <v>217211</v>
      </c>
      <c r="D398" s="10" t="s">
        <v>121</v>
      </c>
      <c r="E398" t="s">
        <v>42</v>
      </c>
      <c r="F398" t="s">
        <v>13</v>
      </c>
      <c r="G398" s="10" t="s">
        <v>13</v>
      </c>
      <c r="I398" s="9">
        <v>0.36180555555555555</v>
      </c>
      <c r="J398" t="str">
        <f>VLOOKUP(E398,[1]!assessment[#Data],4,1)</f>
        <v>COMERCIAL</v>
      </c>
    </row>
    <row r="399" spans="2:10" x14ac:dyDescent="0.3">
      <c r="B399" s="8">
        <v>46113</v>
      </c>
      <c r="C399">
        <v>217211</v>
      </c>
      <c r="D399" s="10" t="s">
        <v>121</v>
      </c>
      <c r="E399" t="s">
        <v>43</v>
      </c>
      <c r="F399" t="s">
        <v>13</v>
      </c>
      <c r="G399" s="10" t="s">
        <v>13</v>
      </c>
      <c r="I399" s="9">
        <v>0.36180555555555555</v>
      </c>
      <c r="J399" t="str">
        <f>VLOOKUP(E399,[1]!assessment[#Data],4,1)</f>
        <v>COMERCIAL</v>
      </c>
    </row>
    <row r="400" spans="2:10" x14ac:dyDescent="0.3">
      <c r="B400" s="8">
        <v>46113</v>
      </c>
      <c r="C400">
        <v>217211</v>
      </c>
      <c r="D400" s="10" t="s">
        <v>121</v>
      </c>
      <c r="E400" t="s">
        <v>45</v>
      </c>
      <c r="F400" t="s">
        <v>13</v>
      </c>
      <c r="G400" s="10" t="s">
        <v>13</v>
      </c>
      <c r="I400" s="9">
        <v>0.36180555555555555</v>
      </c>
      <c r="J400" t="str">
        <f>VLOOKUP(E400,[1]!assessment[#Data],4,1)</f>
        <v>COMERCIAL</v>
      </c>
    </row>
    <row r="401" spans="2:10" x14ac:dyDescent="0.3">
      <c r="B401" s="8">
        <v>46113</v>
      </c>
      <c r="C401">
        <v>217211</v>
      </c>
      <c r="D401" s="10" t="s">
        <v>121</v>
      </c>
      <c r="E401" t="s">
        <v>46</v>
      </c>
      <c r="F401" t="s">
        <v>13</v>
      </c>
      <c r="G401" s="10" t="s">
        <v>13</v>
      </c>
      <c r="I401" s="9">
        <v>0.36180555555555555</v>
      </c>
      <c r="J401" t="str">
        <f>VLOOKUP(E401,[1]!assessment[#Data],4,1)</f>
        <v>COMERCIAL</v>
      </c>
    </row>
    <row r="402" spans="2:10" x14ac:dyDescent="0.3">
      <c r="B402" s="8">
        <v>46113</v>
      </c>
      <c r="C402">
        <v>217211</v>
      </c>
      <c r="D402" s="10" t="s">
        <v>121</v>
      </c>
      <c r="E402" t="s">
        <v>47</v>
      </c>
      <c r="F402" t="s">
        <v>13</v>
      </c>
      <c r="G402" s="10" t="s">
        <v>13</v>
      </c>
      <c r="I402" s="9">
        <v>0.36180555555555555</v>
      </c>
      <c r="J402" t="str">
        <f>VLOOKUP(E402,[1]!assessment[#Data],4,1)</f>
        <v>COMERCIAL</v>
      </c>
    </row>
    <row r="403" spans="2:10" x14ac:dyDescent="0.3">
      <c r="B403" s="8">
        <v>46113</v>
      </c>
      <c r="C403">
        <v>217211</v>
      </c>
      <c r="D403" s="10" t="s">
        <v>121</v>
      </c>
      <c r="E403" t="s">
        <v>48</v>
      </c>
      <c r="F403" t="s">
        <v>13</v>
      </c>
      <c r="G403" s="10" t="s">
        <v>13</v>
      </c>
      <c r="I403" s="9">
        <v>0.36180555555555555</v>
      </c>
      <c r="J403" t="str">
        <f>VLOOKUP(E403,[1]!assessment[#Data],4,1)</f>
        <v>COMERCIAL</v>
      </c>
    </row>
    <row r="404" spans="2:10" x14ac:dyDescent="0.3">
      <c r="B404" s="8">
        <v>46113</v>
      </c>
      <c r="C404">
        <v>217211</v>
      </c>
      <c r="D404" s="10" t="s">
        <v>121</v>
      </c>
      <c r="E404" t="s">
        <v>49</v>
      </c>
      <c r="F404" s="10" t="s">
        <v>13</v>
      </c>
      <c r="G404" s="10" t="s">
        <v>13</v>
      </c>
      <c r="H404" s="10"/>
      <c r="I404" s="9">
        <v>0.36180555555555555</v>
      </c>
      <c r="J404" t="str">
        <f>VLOOKUP(E404,[1]!assessment[#Data],4,1)</f>
        <v>COMERCIAL</v>
      </c>
    </row>
    <row r="405" spans="2:10" x14ac:dyDescent="0.3">
      <c r="B405" s="8">
        <v>46113</v>
      </c>
      <c r="C405">
        <v>217211</v>
      </c>
      <c r="D405" s="10" t="s">
        <v>121</v>
      </c>
      <c r="E405" t="s">
        <v>50</v>
      </c>
      <c r="F405" t="s">
        <v>13</v>
      </c>
      <c r="G405" s="10" t="s">
        <v>13</v>
      </c>
      <c r="I405" s="9">
        <v>0.36180555555555555</v>
      </c>
      <c r="J405" t="str">
        <f>VLOOKUP(E405,[1]!assessment[#Data],4,1)</f>
        <v>COMERCIAL</v>
      </c>
    </row>
    <row r="406" spans="2:10" x14ac:dyDescent="0.3">
      <c r="B406" s="8">
        <v>46113</v>
      </c>
      <c r="C406">
        <v>217211</v>
      </c>
      <c r="D406" s="10" t="s">
        <v>121</v>
      </c>
      <c r="E406" t="s">
        <v>51</v>
      </c>
      <c r="F406" s="10" t="s">
        <v>13</v>
      </c>
      <c r="G406" s="10" t="s">
        <v>13</v>
      </c>
      <c r="H406" s="10"/>
      <c r="I406" s="9">
        <v>0.36180555555555555</v>
      </c>
      <c r="J406" t="str">
        <f>VLOOKUP(E406,[1]!assessment[#Data],4,1)</f>
        <v>COMERCIAL</v>
      </c>
    </row>
    <row r="407" spans="2:10" x14ac:dyDescent="0.3">
      <c r="B407" s="8">
        <v>46113</v>
      </c>
      <c r="C407">
        <v>217211</v>
      </c>
      <c r="D407" s="10" t="s">
        <v>121</v>
      </c>
      <c r="E407" t="s">
        <v>52</v>
      </c>
      <c r="F407" t="s">
        <v>13</v>
      </c>
      <c r="G407" s="10" t="s">
        <v>13</v>
      </c>
      <c r="I407" s="9">
        <v>0.36180555555555555</v>
      </c>
      <c r="J407" t="str">
        <f>VLOOKUP(E407,[1]!assessment[#Data],4,1)</f>
        <v>COMERCIAL</v>
      </c>
    </row>
    <row r="408" spans="2:10" x14ac:dyDescent="0.3">
      <c r="B408" s="8">
        <v>46113</v>
      </c>
      <c r="C408">
        <v>217211</v>
      </c>
      <c r="D408" s="10" t="s">
        <v>121</v>
      </c>
      <c r="E408" t="s">
        <v>53</v>
      </c>
      <c r="F408" t="s">
        <v>13</v>
      </c>
      <c r="G408" s="10" t="s">
        <v>13</v>
      </c>
      <c r="I408" s="9">
        <v>0.36180555555555555</v>
      </c>
      <c r="J408" t="str">
        <f>VLOOKUP(E408,[1]!assessment[#Data],4,1)</f>
        <v>COMERCIAL</v>
      </c>
    </row>
    <row r="409" spans="2:10" x14ac:dyDescent="0.3">
      <c r="B409" s="8">
        <v>46113</v>
      </c>
      <c r="C409">
        <v>217211</v>
      </c>
      <c r="D409" s="10" t="s">
        <v>121</v>
      </c>
      <c r="E409" t="s">
        <v>54</v>
      </c>
      <c r="F409" t="s">
        <v>13</v>
      </c>
      <c r="G409" s="10" t="s">
        <v>13</v>
      </c>
      <c r="I409" s="9">
        <v>0.36180555555555555</v>
      </c>
      <c r="J409" t="str">
        <f>VLOOKUP(E409,[1]!assessment[#Data],4,1)</f>
        <v>COMERCIAL</v>
      </c>
    </row>
    <row r="410" spans="2:10" x14ac:dyDescent="0.3">
      <c r="B410" s="8">
        <v>46113</v>
      </c>
      <c r="C410">
        <v>217211</v>
      </c>
      <c r="D410" s="10" t="s">
        <v>121</v>
      </c>
      <c r="E410" t="s">
        <v>55</v>
      </c>
      <c r="F410" t="s">
        <v>13</v>
      </c>
      <c r="G410" s="10" t="s">
        <v>13</v>
      </c>
      <c r="I410" s="9">
        <v>0.36180555555555555</v>
      </c>
      <c r="J410" t="str">
        <f>VLOOKUP(E410,[1]!assessment[#Data],4,1)</f>
        <v>COMERCIAL</v>
      </c>
    </row>
    <row r="411" spans="2:10" x14ac:dyDescent="0.3">
      <c r="B411" s="8">
        <v>46113</v>
      </c>
      <c r="C411">
        <v>217211</v>
      </c>
      <c r="D411" s="10" t="s">
        <v>121</v>
      </c>
      <c r="E411" t="s">
        <v>56</v>
      </c>
      <c r="F411" t="s">
        <v>13</v>
      </c>
      <c r="G411" s="10" t="s">
        <v>13</v>
      </c>
      <c r="I411" s="9">
        <v>0.36180555555555555</v>
      </c>
      <c r="J411" t="str">
        <f>VLOOKUP(E411,[1]!assessment[#Data],4,1)</f>
        <v>COMERCIAL</v>
      </c>
    </row>
    <row r="412" spans="2:10" x14ac:dyDescent="0.3">
      <c r="B412" s="8">
        <v>46113</v>
      </c>
      <c r="C412">
        <v>217211</v>
      </c>
      <c r="D412" s="10" t="s">
        <v>121</v>
      </c>
      <c r="E412" t="s">
        <v>57</v>
      </c>
      <c r="F412" t="s">
        <v>13</v>
      </c>
      <c r="G412" s="10" t="s">
        <v>13</v>
      </c>
      <c r="I412" s="9">
        <v>0.36180555555555555</v>
      </c>
      <c r="J412" t="str">
        <f>VLOOKUP(E412,[1]!assessment[#Data],4,1)</f>
        <v>COMERCIAL</v>
      </c>
    </row>
    <row r="413" spans="2:10" x14ac:dyDescent="0.3">
      <c r="B413" s="8">
        <v>46113</v>
      </c>
      <c r="C413">
        <v>217211</v>
      </c>
      <c r="D413" s="10" t="s">
        <v>121</v>
      </c>
      <c r="E413" t="s">
        <v>58</v>
      </c>
      <c r="F413" t="s">
        <v>13</v>
      </c>
      <c r="G413" s="10" t="s">
        <v>13</v>
      </c>
      <c r="I413" s="9">
        <v>0.36180555555555555</v>
      </c>
      <c r="J413" t="str">
        <f>VLOOKUP(E413,[1]!assessment[#Data],4,1)</f>
        <v>COMERCIAL</v>
      </c>
    </row>
    <row r="414" spans="2:10" x14ac:dyDescent="0.3">
      <c r="B414" s="8">
        <v>46113</v>
      </c>
      <c r="C414">
        <v>217211</v>
      </c>
      <c r="D414" s="10" t="s">
        <v>121</v>
      </c>
      <c r="E414" t="s">
        <v>59</v>
      </c>
      <c r="F414" t="s">
        <v>13</v>
      </c>
      <c r="G414" s="10" t="s">
        <v>13</v>
      </c>
      <c r="I414" s="9">
        <v>0.36180555555555555</v>
      </c>
      <c r="J414" t="str">
        <f>VLOOKUP(E414,[1]!assessment[#Data],4,1)</f>
        <v>COMERCIAL</v>
      </c>
    </row>
    <row r="415" spans="2:10" x14ac:dyDescent="0.3">
      <c r="B415" s="8">
        <v>46113</v>
      </c>
      <c r="C415">
        <v>217211</v>
      </c>
      <c r="D415" s="10" t="s">
        <v>121</v>
      </c>
      <c r="E415" t="s">
        <v>60</v>
      </c>
      <c r="F415" t="s">
        <v>13</v>
      </c>
      <c r="G415" s="10" t="s">
        <v>13</v>
      </c>
      <c r="I415" s="9">
        <v>0.36180555555555555</v>
      </c>
      <c r="J415" t="str">
        <f>VLOOKUP(E415,[1]!assessment[#Data],4,1)</f>
        <v>COMERCIAL</v>
      </c>
    </row>
    <row r="416" spans="2:10" x14ac:dyDescent="0.3">
      <c r="B416" s="8">
        <v>46113</v>
      </c>
      <c r="C416">
        <v>217211</v>
      </c>
      <c r="D416" s="10" t="s">
        <v>121</v>
      </c>
      <c r="E416" t="s">
        <v>61</v>
      </c>
      <c r="F416" t="s">
        <v>13</v>
      </c>
      <c r="G416" s="10" t="s">
        <v>13</v>
      </c>
      <c r="I416" s="9">
        <v>0.36180555555555555</v>
      </c>
      <c r="J416" t="str">
        <f>VLOOKUP(E416,[1]!assessment[#Data],4,1)</f>
        <v>COMERCIAL</v>
      </c>
    </row>
    <row r="417" spans="2:10" x14ac:dyDescent="0.3">
      <c r="B417" s="8">
        <v>46113</v>
      </c>
      <c r="C417">
        <v>217211</v>
      </c>
      <c r="D417" s="10" t="s">
        <v>121</v>
      </c>
      <c r="E417" t="s">
        <v>62</v>
      </c>
      <c r="F417" t="s">
        <v>13</v>
      </c>
      <c r="G417" s="10" t="s">
        <v>13</v>
      </c>
      <c r="I417" s="9">
        <v>0.36180555555555555</v>
      </c>
      <c r="J417" t="str">
        <f>VLOOKUP(E417,[1]!assessment[#Data],4,1)</f>
        <v>COMERCIAL</v>
      </c>
    </row>
    <row r="418" spans="2:10" x14ac:dyDescent="0.3">
      <c r="B418" s="8">
        <v>46113</v>
      </c>
      <c r="C418">
        <v>217211</v>
      </c>
      <c r="D418" s="10" t="s">
        <v>121</v>
      </c>
      <c r="E418" t="s">
        <v>63</v>
      </c>
      <c r="F418" t="s">
        <v>13</v>
      </c>
      <c r="G418" s="10" t="s">
        <v>13</v>
      </c>
      <c r="I418" s="9">
        <v>0.36180555555555555</v>
      </c>
      <c r="J418" t="str">
        <f>VLOOKUP(E418,[1]!assessment[#Data],4,1)</f>
        <v>COMERCIAL</v>
      </c>
    </row>
    <row r="419" spans="2:10" x14ac:dyDescent="0.3">
      <c r="B419" s="8">
        <v>46113</v>
      </c>
      <c r="C419">
        <v>217211</v>
      </c>
      <c r="D419" s="10" t="s">
        <v>121</v>
      </c>
      <c r="E419" t="s">
        <v>64</v>
      </c>
      <c r="F419" t="s">
        <v>13</v>
      </c>
      <c r="G419" s="10" t="s">
        <v>13</v>
      </c>
      <c r="I419" s="9">
        <v>0.36180555555555555</v>
      </c>
      <c r="J419" t="str">
        <f>VLOOKUP(E419,[1]!assessment[#Data],4,1)</f>
        <v>COMERCIAL</v>
      </c>
    </row>
    <row r="420" spans="2:10" x14ac:dyDescent="0.3">
      <c r="B420" s="8">
        <v>46113</v>
      </c>
      <c r="C420">
        <v>217211</v>
      </c>
      <c r="D420" s="10" t="s">
        <v>121</v>
      </c>
      <c r="E420" t="s">
        <v>65</v>
      </c>
      <c r="F420" t="s">
        <v>13</v>
      </c>
      <c r="G420" s="10" t="s">
        <v>13</v>
      </c>
      <c r="I420" s="9">
        <v>0.36180555555555555</v>
      </c>
      <c r="J420" t="str">
        <f>VLOOKUP(E420,[1]!assessment[#Data],4,1)</f>
        <v>COMERCIAL</v>
      </c>
    </row>
    <row r="421" spans="2:10" x14ac:dyDescent="0.3">
      <c r="B421" s="8">
        <v>46113</v>
      </c>
      <c r="C421">
        <v>217211</v>
      </c>
      <c r="D421" s="10" t="s">
        <v>121</v>
      </c>
      <c r="E421" t="s">
        <v>66</v>
      </c>
      <c r="F421" t="s">
        <v>13</v>
      </c>
      <c r="G421" s="10" t="s">
        <v>13</v>
      </c>
      <c r="I421" s="9">
        <v>0.36180555555555555</v>
      </c>
      <c r="J421" t="str">
        <f>VLOOKUP(E421,[1]!assessment[#Data],4,1)</f>
        <v>COMERCIAL</v>
      </c>
    </row>
    <row r="422" spans="2:10" x14ac:dyDescent="0.3">
      <c r="B422" s="8">
        <v>46113</v>
      </c>
      <c r="C422">
        <v>217211</v>
      </c>
      <c r="D422" s="10" t="s">
        <v>121</v>
      </c>
      <c r="E422" t="s">
        <v>67</v>
      </c>
      <c r="F422" t="s">
        <v>13</v>
      </c>
      <c r="G422" s="10" t="s">
        <v>13</v>
      </c>
      <c r="I422" s="9">
        <v>0.36180555555555555</v>
      </c>
      <c r="J422" t="str">
        <f>VLOOKUP(E422,[1]!assessment[#Data],4,1)</f>
        <v>COMERCIAL</v>
      </c>
    </row>
    <row r="423" spans="2:10" x14ac:dyDescent="0.3">
      <c r="B423" s="8">
        <v>46113</v>
      </c>
      <c r="C423">
        <v>217211</v>
      </c>
      <c r="D423" s="10" t="s">
        <v>121</v>
      </c>
      <c r="E423" t="s">
        <v>68</v>
      </c>
      <c r="F423" t="s">
        <v>13</v>
      </c>
      <c r="G423" s="10" t="s">
        <v>13</v>
      </c>
      <c r="I423" s="9">
        <v>0.36180555555555555</v>
      </c>
      <c r="J423" t="str">
        <f>VLOOKUP(E423,[1]!assessment[#Data],4,1)</f>
        <v>COMERCIAL</v>
      </c>
    </row>
    <row r="424" spans="2:10" x14ac:dyDescent="0.3">
      <c r="B424" s="8">
        <v>46113</v>
      </c>
      <c r="C424">
        <v>217211</v>
      </c>
      <c r="D424" s="10" t="s">
        <v>121</v>
      </c>
      <c r="E424" t="s">
        <v>69</v>
      </c>
      <c r="F424" t="s">
        <v>13</v>
      </c>
      <c r="G424" s="10" t="s">
        <v>13</v>
      </c>
      <c r="I424" s="9">
        <v>0.36180555555555555</v>
      </c>
      <c r="J424" t="str">
        <f>VLOOKUP(E424,[1]!assessment[#Data],4,1)</f>
        <v>COMERCIAL</v>
      </c>
    </row>
    <row r="425" spans="2:10" x14ac:dyDescent="0.3">
      <c r="B425" s="8">
        <v>46113</v>
      </c>
      <c r="C425">
        <v>217211</v>
      </c>
      <c r="D425" s="10" t="s">
        <v>121</v>
      </c>
      <c r="E425" t="s">
        <v>70</v>
      </c>
      <c r="F425" t="s">
        <v>13</v>
      </c>
      <c r="G425" s="10" t="s">
        <v>13</v>
      </c>
      <c r="I425" s="9">
        <v>0.36180555555555555</v>
      </c>
      <c r="J425" t="str">
        <f>VLOOKUP(E425,[1]!assessment[#Data],4,1)</f>
        <v>COMERCIAL</v>
      </c>
    </row>
    <row r="426" spans="2:10" x14ac:dyDescent="0.3">
      <c r="B426" s="8">
        <v>46113</v>
      </c>
      <c r="C426">
        <v>217211</v>
      </c>
      <c r="D426" s="10" t="s">
        <v>121</v>
      </c>
      <c r="E426" t="s">
        <v>71</v>
      </c>
      <c r="F426" t="s">
        <v>13</v>
      </c>
      <c r="G426" s="10" t="s">
        <v>13</v>
      </c>
      <c r="I426" s="9">
        <v>0.36180555555555555</v>
      </c>
      <c r="J426" t="str">
        <f>VLOOKUP(E426,[1]!assessment[#Data],4,1)</f>
        <v>COMERCIAL</v>
      </c>
    </row>
    <row r="427" spans="2:10" x14ac:dyDescent="0.3">
      <c r="B427" s="8">
        <v>46113</v>
      </c>
      <c r="C427">
        <v>217211</v>
      </c>
      <c r="D427" s="10" t="s">
        <v>121</v>
      </c>
      <c r="E427" t="s">
        <v>72</v>
      </c>
      <c r="F427" t="s">
        <v>13</v>
      </c>
      <c r="G427" s="10" t="s">
        <v>13</v>
      </c>
      <c r="I427" s="9">
        <v>0.36180555555555555</v>
      </c>
      <c r="J427" t="str">
        <f>VLOOKUP(E427,[1]!assessment[#Data],4,1)</f>
        <v>COMERCIAL</v>
      </c>
    </row>
    <row r="428" spans="2:10" x14ac:dyDescent="0.3">
      <c r="B428" s="8">
        <v>46113</v>
      </c>
      <c r="C428">
        <v>217211</v>
      </c>
      <c r="D428" s="10" t="s">
        <v>121</v>
      </c>
      <c r="E428" t="s">
        <v>73</v>
      </c>
      <c r="F428" t="s">
        <v>13</v>
      </c>
      <c r="G428" s="10" t="s">
        <v>13</v>
      </c>
      <c r="I428" s="9">
        <v>0.36180555555555555</v>
      </c>
      <c r="J428" t="str">
        <f>VLOOKUP(E428,[1]!assessment[#Data],4,1)</f>
        <v>DISTRIBUIÇÃO</v>
      </c>
    </row>
    <row r="429" spans="2:10" x14ac:dyDescent="0.3">
      <c r="B429" s="8">
        <v>46113</v>
      </c>
      <c r="C429">
        <v>217211</v>
      </c>
      <c r="D429" s="10" t="s">
        <v>121</v>
      </c>
      <c r="E429" t="s">
        <v>74</v>
      </c>
      <c r="F429" t="s">
        <v>13</v>
      </c>
      <c r="G429" s="10" t="s">
        <v>13</v>
      </c>
      <c r="I429" s="9">
        <v>0.36180555555555555</v>
      </c>
      <c r="J429" t="str">
        <f>VLOOKUP(E429,[1]!assessment[#Data],4,1)</f>
        <v>DISTRIBUIÇÃO</v>
      </c>
    </row>
    <row r="430" spans="2:10" x14ac:dyDescent="0.3">
      <c r="B430" s="8">
        <v>46113</v>
      </c>
      <c r="C430">
        <v>217211</v>
      </c>
      <c r="D430" s="10" t="s">
        <v>121</v>
      </c>
      <c r="E430" t="s">
        <v>75</v>
      </c>
      <c r="F430" t="s">
        <v>13</v>
      </c>
      <c r="G430" s="10" t="s">
        <v>13</v>
      </c>
      <c r="I430" s="9">
        <v>0.36180555555555555</v>
      </c>
      <c r="J430" t="str">
        <f>VLOOKUP(E430,[1]!assessment[#Data],4,1)</f>
        <v>DISTRIBUIÇÃO</v>
      </c>
    </row>
    <row r="431" spans="2:10" x14ac:dyDescent="0.3">
      <c r="B431" s="8">
        <v>46113</v>
      </c>
      <c r="C431">
        <v>217211</v>
      </c>
      <c r="D431" s="10" t="s">
        <v>121</v>
      </c>
      <c r="E431" t="s">
        <v>76</v>
      </c>
      <c r="F431" t="s">
        <v>13</v>
      </c>
      <c r="G431" s="10" t="s">
        <v>13</v>
      </c>
      <c r="I431" s="9">
        <v>0.36180555555555555</v>
      </c>
      <c r="J431" t="str">
        <f>VLOOKUP(E431,[1]!assessment[#Data],4,1)</f>
        <v>DISTRIBUIÇÃO</v>
      </c>
    </row>
    <row r="432" spans="2:10" x14ac:dyDescent="0.3">
      <c r="B432" s="8">
        <v>46113</v>
      </c>
      <c r="C432">
        <v>217211</v>
      </c>
      <c r="D432" s="10" t="s">
        <v>121</v>
      </c>
      <c r="E432" t="s">
        <v>77</v>
      </c>
      <c r="F432" t="s">
        <v>13</v>
      </c>
      <c r="G432" s="10" t="s">
        <v>13</v>
      </c>
      <c r="I432" s="9">
        <v>0.36180555555555555</v>
      </c>
      <c r="J432" t="str">
        <f>VLOOKUP(E432,[1]!assessment[#Data],4,1)</f>
        <v>DISTRIBUIÇÃO</v>
      </c>
    </row>
    <row r="433" spans="2:10" x14ac:dyDescent="0.3">
      <c r="B433" s="8">
        <v>46113</v>
      </c>
      <c r="C433">
        <v>217211</v>
      </c>
      <c r="D433" s="10" t="s">
        <v>121</v>
      </c>
      <c r="E433" t="s">
        <v>78</v>
      </c>
      <c r="F433" t="s">
        <v>13</v>
      </c>
      <c r="G433" s="10" t="s">
        <v>13</v>
      </c>
      <c r="I433" s="9">
        <v>0.36180555555555555</v>
      </c>
      <c r="J433" t="str">
        <f>VLOOKUP(E433,[1]!assessment[#Data],4,1)</f>
        <v>DISTRIBUIÇÃO</v>
      </c>
    </row>
    <row r="434" spans="2:10" x14ac:dyDescent="0.3">
      <c r="B434" s="8">
        <v>46113</v>
      </c>
      <c r="C434">
        <v>217211</v>
      </c>
      <c r="D434" s="10" t="s">
        <v>121</v>
      </c>
      <c r="E434" t="s">
        <v>79</v>
      </c>
      <c r="F434" t="s">
        <v>13</v>
      </c>
      <c r="G434" s="10" t="s">
        <v>13</v>
      </c>
      <c r="I434" s="9">
        <v>0.36180555555555555</v>
      </c>
      <c r="J434" t="str">
        <f>VLOOKUP(E434,[1]!assessment[#Data],4,1)</f>
        <v>FROTA</v>
      </c>
    </row>
    <row r="435" spans="2:10" x14ac:dyDescent="0.3">
      <c r="B435" s="8">
        <v>46113</v>
      </c>
      <c r="C435">
        <v>217211</v>
      </c>
      <c r="D435" s="10" t="s">
        <v>121</v>
      </c>
      <c r="E435" t="s">
        <v>80</v>
      </c>
      <c r="F435" t="s">
        <v>13</v>
      </c>
      <c r="G435" s="10" t="s">
        <v>13</v>
      </c>
      <c r="I435" s="9">
        <v>0.36180555555555555</v>
      </c>
      <c r="J435" t="str">
        <f>VLOOKUP(E435,[1]!assessment[#Data],4,1)</f>
        <v>FROTA</v>
      </c>
    </row>
    <row r="436" spans="2:10" x14ac:dyDescent="0.3">
      <c r="B436" s="8">
        <v>46113</v>
      </c>
      <c r="C436">
        <v>217211</v>
      </c>
      <c r="D436" s="10" t="s">
        <v>121</v>
      </c>
      <c r="E436" t="s">
        <v>81</v>
      </c>
      <c r="F436" t="s">
        <v>13</v>
      </c>
      <c r="G436" s="10" t="s">
        <v>13</v>
      </c>
      <c r="I436" s="9">
        <v>0.36180555555555555</v>
      </c>
      <c r="J436" t="str">
        <f>VLOOKUP(E436,[1]!assessment[#Data],4,1)</f>
        <v>FROTA</v>
      </c>
    </row>
    <row r="437" spans="2:10" x14ac:dyDescent="0.3">
      <c r="B437" s="8">
        <v>46113</v>
      </c>
      <c r="C437">
        <v>217211</v>
      </c>
      <c r="D437" s="10" t="s">
        <v>121</v>
      </c>
      <c r="E437" t="s">
        <v>82</v>
      </c>
      <c r="F437" t="s">
        <v>13</v>
      </c>
      <c r="G437" s="10" t="s">
        <v>13</v>
      </c>
      <c r="I437" s="9">
        <v>0.36180555555555555</v>
      </c>
      <c r="J437" t="str">
        <f>VLOOKUP(E437,[1]!assessment[#Data],4,1)</f>
        <v>FROTA</v>
      </c>
    </row>
    <row r="438" spans="2:10" x14ac:dyDescent="0.3">
      <c r="B438" s="8">
        <v>46113</v>
      </c>
      <c r="C438">
        <v>217211</v>
      </c>
      <c r="D438" s="10" t="s">
        <v>121</v>
      </c>
      <c r="E438" t="s">
        <v>83</v>
      </c>
      <c r="F438" t="s">
        <v>13</v>
      </c>
      <c r="G438" s="10" t="s">
        <v>13</v>
      </c>
      <c r="I438" s="9">
        <v>0.36180555555555555</v>
      </c>
      <c r="J438" t="str">
        <f>VLOOKUP(E438,[1]!assessment[#Data],4,1)</f>
        <v>FROTA</v>
      </c>
    </row>
    <row r="439" spans="2:10" x14ac:dyDescent="0.3">
      <c r="B439" s="8">
        <v>46113</v>
      </c>
      <c r="C439">
        <v>217211</v>
      </c>
      <c r="D439" s="10" t="s">
        <v>121</v>
      </c>
      <c r="E439" t="s">
        <v>84</v>
      </c>
      <c r="F439" t="s">
        <v>13</v>
      </c>
      <c r="G439" s="10" t="s">
        <v>13</v>
      </c>
      <c r="I439" s="9">
        <v>0.36180555555555555</v>
      </c>
      <c r="J439" t="str">
        <f>VLOOKUP(E439,[1]!assessment[#Data],4,1)</f>
        <v>RH</v>
      </c>
    </row>
    <row r="440" spans="2:10" x14ac:dyDescent="0.3">
      <c r="B440" s="8">
        <v>46113</v>
      </c>
      <c r="C440">
        <v>217211</v>
      </c>
      <c r="D440" s="10" t="s">
        <v>121</v>
      </c>
      <c r="E440" t="s">
        <v>85</v>
      </c>
      <c r="F440" t="s">
        <v>13</v>
      </c>
      <c r="G440" s="10" t="s">
        <v>13</v>
      </c>
      <c r="I440" s="9">
        <v>0.36180555555555555</v>
      </c>
      <c r="J440" t="str">
        <f>VLOOKUP(E440,[1]!assessment[#Data],4,1)</f>
        <v>RH</v>
      </c>
    </row>
    <row r="441" spans="2:10" x14ac:dyDescent="0.3">
      <c r="B441" s="8">
        <v>46113</v>
      </c>
      <c r="C441">
        <v>217211</v>
      </c>
      <c r="D441" s="10" t="s">
        <v>121</v>
      </c>
      <c r="E441" t="s">
        <v>86</v>
      </c>
      <c r="F441" t="s">
        <v>13</v>
      </c>
      <c r="G441" s="10" t="s">
        <v>13</v>
      </c>
      <c r="I441" s="9">
        <v>0.36180555555555555</v>
      </c>
      <c r="J441" t="str">
        <f>VLOOKUP(E441,[1]!assessment[#Data],4,1)</f>
        <v>RH</v>
      </c>
    </row>
    <row r="442" spans="2:10" x14ac:dyDescent="0.3">
      <c r="B442" s="8">
        <v>46113</v>
      </c>
      <c r="C442">
        <v>217211</v>
      </c>
      <c r="D442" s="10" t="s">
        <v>121</v>
      </c>
      <c r="E442" t="s">
        <v>87</v>
      </c>
      <c r="F442" t="s">
        <v>13</v>
      </c>
      <c r="G442" s="10" t="s">
        <v>13</v>
      </c>
      <c r="I442" s="9">
        <v>0.36180555555555555</v>
      </c>
      <c r="J442" t="str">
        <f>VLOOKUP(E442,[1]!assessment[#Data],4,1)</f>
        <v>RH</v>
      </c>
    </row>
    <row r="443" spans="2:10" x14ac:dyDescent="0.3">
      <c r="B443" s="8">
        <v>46113</v>
      </c>
      <c r="C443">
        <v>217211</v>
      </c>
      <c r="D443" s="10" t="s">
        <v>121</v>
      </c>
      <c r="E443" t="s">
        <v>88</v>
      </c>
      <c r="F443" t="s">
        <v>13</v>
      </c>
      <c r="G443" s="10" t="s">
        <v>13</v>
      </c>
      <c r="I443" s="9">
        <v>0.36180555555555555</v>
      </c>
      <c r="J443" t="str">
        <f>VLOOKUP(E443,[1]!assessment[#Data],4,1)</f>
        <v>RH</v>
      </c>
    </row>
    <row r="444" spans="2:10" x14ac:dyDescent="0.3">
      <c r="B444" s="8">
        <v>46113</v>
      </c>
      <c r="C444">
        <v>217211</v>
      </c>
      <c r="D444" s="10" t="s">
        <v>121</v>
      </c>
      <c r="E444" t="s">
        <v>89</v>
      </c>
      <c r="F444" t="s">
        <v>13</v>
      </c>
      <c r="G444" s="10" t="s">
        <v>13</v>
      </c>
      <c r="I444" s="9">
        <v>0.36180555555555555</v>
      </c>
      <c r="J444" t="str">
        <f>VLOOKUP(E444,[1]!assessment[#Data],4,1)</f>
        <v>RH</v>
      </c>
    </row>
    <row r="445" spans="2:10" x14ac:dyDescent="0.3">
      <c r="B445" s="8">
        <v>46113</v>
      </c>
      <c r="C445">
        <v>217211</v>
      </c>
      <c r="D445" s="10" t="s">
        <v>121</v>
      </c>
      <c r="E445" t="s">
        <v>90</v>
      </c>
      <c r="F445" t="s">
        <v>13</v>
      </c>
      <c r="G445" s="10" t="s">
        <v>13</v>
      </c>
      <c r="I445" s="9">
        <v>0.36180555555555555</v>
      </c>
      <c r="J445" t="str">
        <f>VLOOKUP(E445,[1]!assessment[#Data],4,1)</f>
        <v>RH</v>
      </c>
    </row>
    <row r="446" spans="2:10" x14ac:dyDescent="0.3">
      <c r="B446" s="8">
        <v>46113</v>
      </c>
      <c r="C446">
        <v>217211</v>
      </c>
      <c r="D446" s="10" t="s">
        <v>121</v>
      </c>
      <c r="E446" t="s">
        <v>91</v>
      </c>
      <c r="F446" t="s">
        <v>13</v>
      </c>
      <c r="G446" s="10" t="s">
        <v>13</v>
      </c>
      <c r="I446" s="9">
        <v>0.36180555555555555</v>
      </c>
      <c r="J446" t="str">
        <f>VLOOKUP(E446,[1]!assessment[#Data],4,1)</f>
        <v>RH</v>
      </c>
    </row>
    <row r="447" spans="2:10" x14ac:dyDescent="0.3">
      <c r="B447" s="8">
        <v>46113</v>
      </c>
      <c r="C447">
        <v>217211</v>
      </c>
      <c r="D447" s="10" t="s">
        <v>121</v>
      </c>
      <c r="E447" t="s">
        <v>92</v>
      </c>
      <c r="F447" t="s">
        <v>13</v>
      </c>
      <c r="G447" s="10" t="s">
        <v>13</v>
      </c>
      <c r="I447" s="9">
        <v>0.36180555555555555</v>
      </c>
      <c r="J447" t="str">
        <f>VLOOKUP(E447,[1]!assessment[#Data],4,1)</f>
        <v>SHE</v>
      </c>
    </row>
    <row r="448" spans="2:10" x14ac:dyDescent="0.3">
      <c r="B448" s="8">
        <v>46113</v>
      </c>
      <c r="C448">
        <v>217211</v>
      </c>
      <c r="D448" s="10" t="s">
        <v>121</v>
      </c>
      <c r="E448" t="s">
        <v>93</v>
      </c>
      <c r="F448" t="s">
        <v>13</v>
      </c>
      <c r="G448" s="10" t="s">
        <v>13</v>
      </c>
      <c r="I448" s="9">
        <v>0.36180555555555555</v>
      </c>
      <c r="J448" t="str">
        <f>VLOOKUP(E448,[1]!assessment[#Data],4,1)</f>
        <v>SHE</v>
      </c>
    </row>
    <row r="449" spans="2:10" x14ac:dyDescent="0.3">
      <c r="B449" s="8">
        <v>46113</v>
      </c>
      <c r="C449">
        <v>217211</v>
      </c>
      <c r="D449" s="10" t="s">
        <v>121</v>
      </c>
      <c r="E449" t="s">
        <v>94</v>
      </c>
      <c r="F449" t="s">
        <v>13</v>
      </c>
      <c r="G449" s="10" t="s">
        <v>13</v>
      </c>
      <c r="I449" s="9">
        <v>0.36180555555555555</v>
      </c>
      <c r="J449" t="str">
        <f>VLOOKUP(E449,[1]!assessment[#Data],4,1)</f>
        <v>SHE</v>
      </c>
    </row>
    <row r="450" spans="2:10" x14ac:dyDescent="0.3">
      <c r="B450" s="8">
        <v>46113</v>
      </c>
      <c r="C450">
        <v>217211</v>
      </c>
      <c r="D450" s="10" t="s">
        <v>121</v>
      </c>
      <c r="E450" t="s">
        <v>95</v>
      </c>
      <c r="F450" t="s">
        <v>13</v>
      </c>
      <c r="G450" s="10" t="s">
        <v>13</v>
      </c>
      <c r="I450" s="9">
        <v>0.36180555555555555</v>
      </c>
      <c r="J450" t="str">
        <f>VLOOKUP(E450,[1]!assessment[#Data],4,1)</f>
        <v>SHE</v>
      </c>
    </row>
    <row r="451" spans="2:10" x14ac:dyDescent="0.3">
      <c r="B451" s="8">
        <v>46113</v>
      </c>
      <c r="C451">
        <v>217211</v>
      </c>
      <c r="D451" s="10" t="s">
        <v>121</v>
      </c>
      <c r="E451" t="s">
        <v>96</v>
      </c>
      <c r="F451" t="s">
        <v>13</v>
      </c>
      <c r="G451" s="10" t="s">
        <v>13</v>
      </c>
      <c r="I451" s="9">
        <v>0.36180555555555555</v>
      </c>
      <c r="J451" t="str">
        <f>VLOOKUP(E451,[1]!assessment[#Data],4,1)</f>
        <v>SHE</v>
      </c>
    </row>
    <row r="452" spans="2:10" x14ac:dyDescent="0.3">
      <c r="B452" s="8">
        <v>46113</v>
      </c>
      <c r="C452">
        <v>217211</v>
      </c>
      <c r="D452" s="10" t="s">
        <v>121</v>
      </c>
      <c r="E452" t="s">
        <v>97</v>
      </c>
      <c r="F452" t="s">
        <v>13</v>
      </c>
      <c r="G452" s="10" t="s">
        <v>13</v>
      </c>
      <c r="I452" s="9">
        <v>0.36180555555555555</v>
      </c>
      <c r="J452" t="str">
        <f>VLOOKUP(E452,[1]!assessment[#Data],4,1)</f>
        <v>SHE</v>
      </c>
    </row>
    <row r="453" spans="2:10" x14ac:dyDescent="0.3">
      <c r="B453" s="8">
        <v>46113</v>
      </c>
      <c r="C453">
        <v>217211</v>
      </c>
      <c r="D453" s="10" t="s">
        <v>121</v>
      </c>
      <c r="E453" t="s">
        <v>98</v>
      </c>
      <c r="F453" t="s">
        <v>13</v>
      </c>
      <c r="G453" s="10" t="s">
        <v>13</v>
      </c>
      <c r="I453" s="9">
        <v>0.36180555555555555</v>
      </c>
      <c r="J453" t="str">
        <f>VLOOKUP(E453,[1]!assessment[#Data],4,1)</f>
        <v>SHE</v>
      </c>
    </row>
    <row r="454" spans="2:10" x14ac:dyDescent="0.3">
      <c r="B454" s="8">
        <v>46113</v>
      </c>
      <c r="C454">
        <v>217211</v>
      </c>
      <c r="D454" s="10" t="s">
        <v>121</v>
      </c>
      <c r="E454" t="s">
        <v>99</v>
      </c>
      <c r="F454" t="s">
        <v>13</v>
      </c>
      <c r="G454" s="10" t="s">
        <v>13</v>
      </c>
      <c r="I454" s="9">
        <v>0.36180555555555555</v>
      </c>
      <c r="J454" t="str">
        <f>VLOOKUP(E454,[1]!assessment[#Data],4,1)</f>
        <v>SHE</v>
      </c>
    </row>
    <row r="455" spans="2:10" x14ac:dyDescent="0.3">
      <c r="B455" s="8">
        <v>46113</v>
      </c>
      <c r="C455">
        <v>217211</v>
      </c>
      <c r="D455" s="10" t="s">
        <v>121</v>
      </c>
      <c r="E455" t="s">
        <v>100</v>
      </c>
      <c r="F455" t="s">
        <v>13</v>
      </c>
      <c r="G455" s="10" t="s">
        <v>13</v>
      </c>
      <c r="I455" s="9">
        <v>0.36180555555555555</v>
      </c>
      <c r="J455" t="str">
        <f>VLOOKUP(E455,[1]!assessment[#Data],4,1)</f>
        <v>SHE</v>
      </c>
    </row>
    <row r="456" spans="2:10" x14ac:dyDescent="0.3">
      <c r="B456" s="8">
        <v>46113</v>
      </c>
      <c r="C456">
        <v>217211</v>
      </c>
      <c r="D456" s="10" t="s">
        <v>121</v>
      </c>
      <c r="E456" t="s">
        <v>101</v>
      </c>
      <c r="F456" t="s">
        <v>13</v>
      </c>
      <c r="G456" s="10" t="s">
        <v>13</v>
      </c>
      <c r="I456" s="9">
        <v>0.36180555555555555</v>
      </c>
      <c r="J456" t="str">
        <f>VLOOKUP(E456,[1]!assessment[#Data],4,1)</f>
        <v>SISTEMA OPERACIONAL</v>
      </c>
    </row>
    <row r="457" spans="2:10" x14ac:dyDescent="0.3">
      <c r="B457" s="8">
        <v>46113</v>
      </c>
      <c r="C457">
        <v>217211</v>
      </c>
      <c r="D457" s="10" t="s">
        <v>121</v>
      </c>
      <c r="E457" t="s">
        <v>102</v>
      </c>
      <c r="F457" t="s">
        <v>13</v>
      </c>
      <c r="G457" s="10" t="s">
        <v>13</v>
      </c>
      <c r="I457" s="9">
        <v>0.36180555555555555</v>
      </c>
      <c r="J457" t="str">
        <f>VLOOKUP(E457,[1]!assessment[#Data],4,1)</f>
        <v>SISTEMA OPERACIONAL</v>
      </c>
    </row>
    <row r="458" spans="2:10" x14ac:dyDescent="0.3">
      <c r="B458" s="8">
        <v>46113</v>
      </c>
      <c r="C458">
        <v>217211</v>
      </c>
      <c r="D458" s="10" t="s">
        <v>121</v>
      </c>
      <c r="E458" t="s">
        <v>103</v>
      </c>
      <c r="F458" t="s">
        <v>13</v>
      </c>
      <c r="G458" s="10" t="s">
        <v>13</v>
      </c>
      <c r="I458" s="9">
        <v>0.36180555555555555</v>
      </c>
      <c r="J458" t="str">
        <f>VLOOKUP(E458,[1]!assessment[#Data],4,1)</f>
        <v>TRADE</v>
      </c>
    </row>
    <row r="459" spans="2:10" x14ac:dyDescent="0.3">
      <c r="B459" s="8">
        <v>46113</v>
      </c>
      <c r="C459">
        <v>217211</v>
      </c>
      <c r="D459" s="10" t="s">
        <v>121</v>
      </c>
      <c r="E459" t="s">
        <v>104</v>
      </c>
      <c r="F459" t="s">
        <v>13</v>
      </c>
      <c r="G459" s="10" t="s">
        <v>13</v>
      </c>
      <c r="I459" s="9">
        <v>0.36180555555555555</v>
      </c>
      <c r="J459" t="str">
        <f>VLOOKUP(E459,[1]!assessment[#Data],4,1)</f>
        <v>TRADE</v>
      </c>
    </row>
    <row r="460" spans="2:10" x14ac:dyDescent="0.3">
      <c r="B460" s="8">
        <v>46113</v>
      </c>
      <c r="C460">
        <v>217211</v>
      </c>
      <c r="D460" s="10" t="s">
        <v>121</v>
      </c>
      <c r="E460" t="s">
        <v>105</v>
      </c>
      <c r="F460" t="s">
        <v>13</v>
      </c>
      <c r="G460" s="10" t="s">
        <v>13</v>
      </c>
      <c r="I460" s="9">
        <v>0.36180555555555555</v>
      </c>
      <c r="J460" t="str">
        <f>VLOOKUP(E460,[1]!assessment[#Data],4,1)</f>
        <v>TRADE</v>
      </c>
    </row>
    <row r="461" spans="2:10" x14ac:dyDescent="0.3">
      <c r="B461" s="8">
        <v>46113</v>
      </c>
      <c r="C461">
        <v>217211</v>
      </c>
      <c r="D461" s="10" t="s">
        <v>121</v>
      </c>
      <c r="E461" t="s">
        <v>106</v>
      </c>
      <c r="F461" t="s">
        <v>13</v>
      </c>
      <c r="G461" s="10" t="s">
        <v>13</v>
      </c>
      <c r="I461" s="9">
        <v>0.36180555555555555</v>
      </c>
      <c r="J461" t="str">
        <f>VLOOKUP(E461,[1]!assessment[#Data],4,1)</f>
        <v>TRADE</v>
      </c>
    </row>
    <row r="462" spans="2:10" x14ac:dyDescent="0.3">
      <c r="B462" s="8">
        <v>46113</v>
      </c>
      <c r="C462">
        <v>217211</v>
      </c>
      <c r="D462" s="10" t="s">
        <v>121</v>
      </c>
      <c r="E462" t="s">
        <v>107</v>
      </c>
      <c r="F462" t="s">
        <v>13</v>
      </c>
      <c r="G462" s="10" t="s">
        <v>13</v>
      </c>
      <c r="I462" s="9">
        <v>0.36180555555555555</v>
      </c>
      <c r="J462" t="str">
        <f>VLOOKUP(E462,[1]!assessment[#Data],4,1)</f>
        <v>TRADE</v>
      </c>
    </row>
    <row r="463" spans="2:10" x14ac:dyDescent="0.3">
      <c r="B463" s="8">
        <v>46113</v>
      </c>
      <c r="C463">
        <v>217211</v>
      </c>
      <c r="D463" s="10" t="s">
        <v>121</v>
      </c>
      <c r="E463" t="s">
        <v>108</v>
      </c>
      <c r="F463" t="s">
        <v>13</v>
      </c>
      <c r="G463" s="10" t="s">
        <v>13</v>
      </c>
      <c r="I463" s="9">
        <v>0.36180555555555555</v>
      </c>
      <c r="J463" t="str">
        <f>VLOOKUP(E463,[1]!assessment[#Data],4,1)</f>
        <v>TRADE</v>
      </c>
    </row>
    <row r="464" spans="2:10" x14ac:dyDescent="0.3">
      <c r="B464" s="8">
        <v>46113</v>
      </c>
      <c r="C464">
        <v>217211</v>
      </c>
      <c r="D464" s="10" t="s">
        <v>121</v>
      </c>
      <c r="E464" t="s">
        <v>109</v>
      </c>
      <c r="F464" t="s">
        <v>13</v>
      </c>
      <c r="G464" s="10" t="s">
        <v>13</v>
      </c>
      <c r="I464" s="9">
        <v>0.36180555555555555</v>
      </c>
      <c r="J464" t="str">
        <f>VLOOKUP(E464,[1]!assessment[#Data],4,1)</f>
        <v>TRADE</v>
      </c>
    </row>
  </sheetData>
  <conditionalFormatting sqref="F5:F464">
    <cfRule type="cellIs" dxfId="7" priority="1" operator="equal">
      <formula>$G$7</formula>
    </cfRule>
    <cfRule type="cellIs" dxfId="6" priority="2" operator="equal">
      <formula>$G$5</formula>
    </cfRule>
  </conditionalFormatting>
  <conditionalFormatting sqref="G5:G464">
    <cfRule type="cellIs" dxfId="5" priority="3" operator="equal">
      <formula>$G$7</formula>
    </cfRule>
    <cfRule type="cellIs" dxfId="4" priority="4" operator="equal">
      <formula>$G$5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Duttra Floriano</dc:creator>
  <cp:lastModifiedBy>Duttra Floriano</cp:lastModifiedBy>
  <dcterms:created xsi:type="dcterms:W3CDTF">2026-05-11T12:09:27Z</dcterms:created>
  <dcterms:modified xsi:type="dcterms:W3CDTF">2026-05-11T12:10:15Z</dcterms:modified>
</cp:coreProperties>
</file>